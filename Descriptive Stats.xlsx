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144" windowWidth="16260" windowHeight="5064"/>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44525"/>
</workbook>
</file>

<file path=xl/calcChain.xml><?xml version="1.0" encoding="utf-8"?>
<calcChain xmlns="http://schemas.openxmlformats.org/spreadsheetml/2006/main">
  <c r="E8" i="10" l="1"/>
  <c r="E7" i="10"/>
  <c r="E11" i="10"/>
  <c r="E10" i="10"/>
  <c r="E9" i="10"/>
  <c r="E5" i="10"/>
  <c r="E6" i="10"/>
  <c r="D6" i="9"/>
  <c r="D5" i="9"/>
  <c r="D7" i="6"/>
  <c r="D5" i="6"/>
  <c r="D4" i="6"/>
  <c r="D7" i="5"/>
  <c r="D6" i="5"/>
  <c r="D5" i="5"/>
  <c r="C5" i="4"/>
  <c r="D4" i="3"/>
  <c r="E4" i="2"/>
  <c r="D6" i="1"/>
  <c r="D5" i="1"/>
  <c r="D4" i="1"/>
</calcChain>
</file>

<file path=xl/sharedStrings.xml><?xml version="1.0" encoding="utf-8"?>
<sst xmlns="http://schemas.openxmlformats.org/spreadsheetml/2006/main" count="51" uniqueCount="42">
  <si>
    <t>Q1: Understanding Central Tendency
A bakery tracks the daily sales of muffins (in dozens) over a week: [10, 12, 11, 15, 14, 13, 12].
What is the most representative value of their weekly sales, and why?</t>
  </si>
  <si>
    <t>Q2: Mean in Real Life 
A teacher records the marks of her students in a short quiz: [12, 15, 14, 16, 18, 20, 19].
What is the mean score, and what does it tell us about the class’s performance?</t>
  </si>
  <si>
    <t>Q3: Mode in Real Life 
A store records the shoe sizes sold in one day: [7, 8, 9, 8, 8, 10, 7, 9].
What is the mode, and why is this information useful for the store manager?</t>
  </si>
  <si>
    <t>Q4: Median in Real Life 
A car dealer notes the prices of used cars: [$8,000, $9,500, $10,200, $11,000, $50,000].
Why is the median a better measure than the mean in this case? Calculate the median.</t>
  </si>
  <si>
    <t xml:space="preserve"> Q5. Dispersion Introduction 
A student times how long it takes to finish a puzzle each day: [25, 30, 27, 35, 40].
What does the range tell us about the variation in the student’s puzzle-solving time?</t>
  </si>
  <si>
    <t>Q6: Range in Action
A farmer records the weekly weight of harvested apples (kg): [100, 105, 98, 110, 120].
Find the range. How can this help the farmer in planning his packaging?</t>
  </si>
  <si>
    <t>Q8: Standard Deviation in Context 
A finance student compares the daily price fluctuations of two cryptocurrencies.
 Coin A: standard deviation = $30 Coin B: standard deviation = $120
 Which coin is riskier to invest in, and why?</t>
  </si>
  <si>
    <t>Q9: Combining Measures 
A family records their monthly electricity usage (in kWh): [400, 420, 390, 450, 410].
Find the mean and standard deviation. What do these values together tell you about the family’s energy use
pattern?</t>
  </si>
  <si>
    <t>Q10: Practical Application
A basketball player’s points in 8 games are recorded: [15, 18, 20, 22, 25, 17, 19, 21].
Find the mean, median, mode, range, and standard deviation. What insights can these measures provide
about the player’s scoring performance?</t>
  </si>
  <si>
    <t xml:space="preserve">Daily Sales </t>
  </si>
  <si>
    <t>Mean</t>
  </si>
  <si>
    <t>Median</t>
  </si>
  <si>
    <t>Mode</t>
  </si>
  <si>
    <t>Central tendency in statistics means a single value that represents the center or typical value of a dataset.
It helps us understand where most of the data points lie.
Here we can see Mean, Median and Mode is coming 12 so we can say most representative value of weekly sales is 12.</t>
  </si>
  <si>
    <t xml:space="preserve">most representative value </t>
  </si>
  <si>
    <t>Marks</t>
  </si>
  <si>
    <r>
      <rPr>
        <b/>
        <sz val="12"/>
        <color theme="1"/>
        <rFont val="Calibri"/>
        <family val="2"/>
        <scheme val="minor"/>
      </rPr>
      <t xml:space="preserve">What does this tell us about the class’s performance?
</t>
    </r>
    <r>
      <rPr>
        <i/>
        <sz val="12"/>
        <color theme="1"/>
        <rFont val="Calibri"/>
        <family val="2"/>
        <scheme val="minor"/>
      </rPr>
      <t>This tell us below things about the class's performance : -</t>
    </r>
    <r>
      <rPr>
        <sz val="11"/>
        <color theme="1"/>
        <rFont val="Calibri"/>
        <family val="2"/>
        <scheme val="minor"/>
      </rPr>
      <t xml:space="preserve">
i) The average student scored around 16 marks in the quiz.
ii) This suggests that the overall class performance was fairly good.
iii) Most students performed above average, with several scoring close to or higher than the mean.
iv)The mean gives a general idea of typical performance, though it does not show individual differences.</t>
    </r>
  </si>
  <si>
    <t>Shoe Size Sold</t>
  </si>
  <si>
    <t>Q) Why is this information useful for the store manager?
Ans : -The mode of the shoe sizes is 8, which helps the store manager understand the most popular size and plan inventory accordingly.</t>
  </si>
  <si>
    <t>Prices of used cars in $</t>
  </si>
  <si>
    <t>Q) Why is the median a better measure than the mean in this case? 
Ans : - The median price is $10,200, and it is a better measure than the mean because it is not affected by the unusually high price of $50,000.</t>
  </si>
  <si>
    <t>Time taken</t>
  </si>
  <si>
    <t>Range</t>
  </si>
  <si>
    <t>Maximum time taken</t>
  </si>
  <si>
    <t>Minimum time taken</t>
  </si>
  <si>
    <t xml:space="preserve">Range </t>
  </si>
  <si>
    <t>Q) What does the range tell us about the variation in the student’s puzzle-solving time?
Ans : - The range of 15 minutes shows that the student’s puzzle-solving time varies by 15 minutes between the fastest and slowest day.</t>
  </si>
  <si>
    <t xml:space="preserve">Weekly weight </t>
  </si>
  <si>
    <t>Q)  How can this help the farmer in planning his packaging?
Ans : - The range of 22 kg indicates that the weekly apple harvest varies significantly, helping the farmer plan packaging capacity to handle both low and high harvest weeks.</t>
  </si>
  <si>
    <t>Maximum weight</t>
  </si>
  <si>
    <t>Minimum weight</t>
  </si>
  <si>
    <t>Q7: Variance for Decision-Making
Two delivery companies track delivery delays (in minutes).
Company A: variance = 6
Company B: variance = 15
Which company is more consistent, and why?</t>
  </si>
  <si>
    <t>Ans : - Company A is more consistent because it has a lower variance, indicating less variability in delivery delays.</t>
  </si>
  <si>
    <t>Ans:- Standard deviation measures volatility (how much prices fluctuate).
 :- Higher standard deviation = higher risk.
 :- Coin B’s price fluctuates much more ($120) compared to Coin A ($30).
 :- This means Coin B’s returns are less predictable and can change sharply.</t>
  </si>
  <si>
    <t>Q. Which coin is riskier to invest in, and why?</t>
  </si>
  <si>
    <t>Electricity Usage (in kWh)</t>
  </si>
  <si>
    <t>Standard Deviation</t>
  </si>
  <si>
    <t>Q) What do these values together tell you about the family’s energy use pattern ?
Ans : - The mean monthly electricity usage is 414 kWh, and the standard deviation of about 22 kWh shows that the family’s energy use is relatively stable with only moderate variation.</t>
  </si>
  <si>
    <t>Points</t>
  </si>
  <si>
    <t>Maximum Score</t>
  </si>
  <si>
    <t>Minimum Score</t>
  </si>
  <si>
    <r>
      <t xml:space="preserve">Q)What insights can these measures provide
about the player’s scoring performance?
</t>
    </r>
    <r>
      <rPr>
        <i/>
        <sz val="13"/>
        <color theme="1"/>
        <rFont val="Calibri"/>
        <family val="2"/>
        <scheme val="minor"/>
      </rPr>
      <t>Ans  : - Insights
i) Mean &amp; Median (~19.6 and 19.5) → Player scores consistently around 19–20 points per game.
ii)Mode = None → No single score dominates; scoring is fairly spread.
iii)Range = 10 → Difference between highest and lowest score is moderate.
iv)Standard deviation ≈ 3.1 → Scores vary slightly around the mean; player is fairly consistent.
v)Overall: The player has a balanced and fairly consistent scoring performance, without extreme highs or lows.</t>
    </r>
  </si>
</sst>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4"/>
      <color rgb="FFFA7D00"/>
      <name val="Calibri"/>
      <family val="2"/>
      <scheme val="minor"/>
    </font>
    <font>
      <sz val="14"/>
      <color theme="1"/>
      <name val="Calibri"/>
      <family val="2"/>
      <scheme val="minor"/>
    </font>
    <font>
      <b/>
      <sz val="12"/>
      <color theme="1"/>
      <name val="Calibri"/>
      <family val="2"/>
      <scheme val="minor"/>
    </font>
    <font>
      <i/>
      <sz val="12"/>
      <color theme="1"/>
      <name val="Calibri"/>
      <family val="2"/>
      <scheme val="minor"/>
    </font>
    <font>
      <b/>
      <i/>
      <sz val="14"/>
      <color theme="1"/>
      <name val="Calibri"/>
      <family val="2"/>
      <scheme val="minor"/>
    </font>
    <font>
      <b/>
      <i/>
      <sz val="12"/>
      <color theme="1"/>
      <name val="Calibri"/>
      <family val="2"/>
      <scheme val="minor"/>
    </font>
    <font>
      <b/>
      <i/>
      <sz val="14"/>
      <color rgb="FF006100"/>
      <name val="Calibri"/>
      <family val="2"/>
      <scheme val="minor"/>
    </font>
    <font>
      <b/>
      <sz val="13"/>
      <color theme="1"/>
      <name val="Calibri"/>
      <family val="2"/>
      <scheme val="minor"/>
    </font>
    <font>
      <sz val="13"/>
      <color theme="1"/>
      <name val="Calibri"/>
      <family val="2"/>
      <scheme val="minor"/>
    </font>
    <font>
      <i/>
      <sz val="13"/>
      <color rgb="FF9C0006"/>
      <name val="Calibri"/>
      <family val="2"/>
      <scheme val="minor"/>
    </font>
    <font>
      <i/>
      <sz val="13"/>
      <color theme="1"/>
      <name val="Calibri"/>
      <family val="2"/>
      <scheme val="minor"/>
    </font>
    <font>
      <b/>
      <i/>
      <sz val="13"/>
      <color theme="1"/>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7"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47">
    <xf numFmtId="0" fontId="0" fillId="0" borderId="0" xfId="0"/>
    <xf numFmtId="0" fontId="5" fillId="4" borderId="2" xfId="3" applyFont="1" applyBorder="1" applyAlignment="1">
      <alignment horizontal="left" vertical="top" wrapText="1"/>
    </xf>
    <xf numFmtId="0" fontId="5" fillId="4" borderId="0" xfId="3" applyFont="1" applyBorder="1" applyAlignment="1">
      <alignment horizontal="left" vertical="top" wrapText="1"/>
    </xf>
    <xf numFmtId="0" fontId="5" fillId="4" borderId="1" xfId="3" applyFont="1" applyAlignment="1">
      <alignment horizontal="left" vertical="center" wrapText="1"/>
    </xf>
    <xf numFmtId="0" fontId="5" fillId="4" borderId="3" xfId="3" applyFont="1" applyBorder="1" applyAlignment="1">
      <alignment horizontal="left" vertical="center" wrapText="1"/>
    </xf>
    <xf numFmtId="0" fontId="5" fillId="4" borderId="4" xfId="3" applyFont="1" applyBorder="1" applyAlignment="1">
      <alignment horizontal="left" vertical="center" wrapText="1"/>
    </xf>
    <xf numFmtId="0" fontId="5" fillId="4" borderId="5" xfId="3" applyFont="1" applyBorder="1" applyAlignment="1">
      <alignment horizontal="left" vertical="center" wrapText="1"/>
    </xf>
    <xf numFmtId="0" fontId="0" fillId="0" borderId="0" xfId="0" applyAlignment="1">
      <alignment vertical="top"/>
    </xf>
    <xf numFmtId="0" fontId="5" fillId="4" borderId="1" xfId="3" applyFont="1" applyAlignment="1">
      <alignment horizontal="left" vertical="top" wrapText="1"/>
    </xf>
    <xf numFmtId="0" fontId="5" fillId="4" borderId="3" xfId="3" applyFont="1" applyBorder="1" applyAlignment="1">
      <alignment horizontal="left" vertical="top" wrapText="1"/>
    </xf>
    <xf numFmtId="0" fontId="5" fillId="4" borderId="4" xfId="3" applyFont="1" applyBorder="1" applyAlignment="1">
      <alignment horizontal="left" vertical="top" wrapText="1"/>
    </xf>
    <xf numFmtId="0" fontId="5" fillId="4" borderId="5" xfId="3" applyFont="1" applyBorder="1" applyAlignment="1">
      <alignment horizontal="left" vertical="top" wrapText="1"/>
    </xf>
    <xf numFmtId="0" fontId="0" fillId="0" borderId="0" xfId="0" applyAlignment="1">
      <alignment horizontal="center" vertical="top"/>
    </xf>
    <xf numFmtId="0" fontId="9" fillId="7" borderId="0" xfId="0" applyFont="1" applyFill="1" applyAlignment="1">
      <alignment horizontal="left" vertical="top"/>
    </xf>
    <xf numFmtId="0" fontId="10" fillId="0" borderId="0" xfId="0" applyFont="1"/>
    <xf numFmtId="0" fontId="11" fillId="2" borderId="0" xfId="1" applyFont="1"/>
    <xf numFmtId="0" fontId="13" fillId="0" borderId="0" xfId="0" applyFont="1"/>
    <xf numFmtId="0" fontId="12" fillId="6" borderId="0" xfId="0" applyFont="1" applyFill="1" applyAlignment="1">
      <alignment horizontal="center" vertical="top"/>
    </xf>
    <xf numFmtId="0" fontId="13" fillId="6" borderId="0" xfId="0" applyFont="1" applyFill="1" applyAlignment="1">
      <alignment horizontal="center" vertical="top"/>
    </xf>
    <xf numFmtId="0" fontId="13" fillId="9" borderId="0" xfId="0" applyFont="1" applyFill="1"/>
    <xf numFmtId="0" fontId="12" fillId="9" borderId="0" xfId="0" applyFont="1" applyFill="1"/>
    <xf numFmtId="0" fontId="13" fillId="11" borderId="0" xfId="0" applyFont="1" applyFill="1"/>
    <xf numFmtId="0" fontId="12" fillId="11" borderId="0" xfId="0" applyFont="1" applyFill="1"/>
    <xf numFmtId="0" fontId="12" fillId="10" borderId="0" xfId="0" applyFont="1" applyFill="1" applyAlignment="1">
      <alignment horizontal="left" vertical="top" wrapText="1"/>
    </xf>
    <xf numFmtId="0" fontId="4" fillId="6" borderId="0" xfId="0" applyFont="1" applyFill="1"/>
    <xf numFmtId="0" fontId="0" fillId="6" borderId="0" xfId="0" applyFill="1"/>
    <xf numFmtId="0" fontId="6" fillId="9" borderId="0" xfId="0" applyFont="1" applyFill="1"/>
    <xf numFmtId="0" fontId="0" fillId="9" borderId="0" xfId="0" applyFill="1"/>
    <xf numFmtId="0" fontId="0" fillId="5" borderId="0" xfId="0" applyFill="1" applyAlignment="1">
      <alignment horizontal="left" vertical="top" wrapText="1"/>
    </xf>
    <xf numFmtId="0" fontId="0" fillId="9" borderId="0" xfId="0" applyFill="1" applyAlignment="1">
      <alignment horizontal="center" vertical="top"/>
    </xf>
    <xf numFmtId="0" fontId="9" fillId="5" borderId="0" xfId="0" applyFont="1" applyFill="1" applyAlignment="1">
      <alignment horizontal="left" vertical="center" wrapText="1"/>
    </xf>
    <xf numFmtId="0" fontId="9" fillId="5" borderId="0" xfId="0" applyFont="1" applyFill="1" applyAlignment="1">
      <alignment horizontal="left" vertical="center"/>
    </xf>
    <xf numFmtId="0" fontId="5" fillId="4" borderId="4" xfId="3" applyFont="1" applyBorder="1" applyAlignment="1">
      <alignment horizontal="left" vertical="top"/>
    </xf>
    <xf numFmtId="0" fontId="5" fillId="4" borderId="5" xfId="3" applyFont="1" applyBorder="1" applyAlignment="1">
      <alignment horizontal="left" vertical="top"/>
    </xf>
    <xf numFmtId="0" fontId="12" fillId="6" borderId="0" xfId="0" applyFont="1" applyFill="1"/>
    <xf numFmtId="3" fontId="13" fillId="6" borderId="0" xfId="0" applyNumberFormat="1" applyFont="1" applyFill="1" applyAlignment="1">
      <alignment horizontal="left" vertical="top"/>
    </xf>
    <xf numFmtId="3" fontId="12" fillId="9" borderId="0" xfId="0" applyNumberFormat="1" applyFont="1" applyFill="1"/>
    <xf numFmtId="0" fontId="12" fillId="5" borderId="0" xfId="0" applyFont="1" applyFill="1" applyAlignment="1">
      <alignment horizontal="left" vertical="top" wrapText="1"/>
    </xf>
    <xf numFmtId="0" fontId="13" fillId="0" borderId="0" xfId="0" applyFont="1" applyAlignment="1">
      <alignment horizontal="center" vertical="center"/>
    </xf>
    <xf numFmtId="0" fontId="12" fillId="8" borderId="0" xfId="0" applyFont="1" applyFill="1" applyAlignment="1">
      <alignment horizontal="center" vertical="center"/>
    </xf>
    <xf numFmtId="0" fontId="13" fillId="8" borderId="0" xfId="0" applyFont="1" applyFill="1" applyAlignment="1">
      <alignment horizontal="center" vertical="center"/>
    </xf>
    <xf numFmtId="0" fontId="13" fillId="9" borderId="0" xfId="0" applyFont="1" applyFill="1" applyAlignment="1">
      <alignment horizontal="center" vertical="center"/>
    </xf>
    <xf numFmtId="0" fontId="13" fillId="5" borderId="0" xfId="0" applyFont="1" applyFill="1" applyAlignment="1">
      <alignment horizontal="left" vertical="top" wrapText="1"/>
    </xf>
    <xf numFmtId="0" fontId="12" fillId="6" borderId="0" xfId="0" applyFont="1" applyFill="1" applyAlignment="1">
      <alignment horizontal="center" vertical="center"/>
    </xf>
    <xf numFmtId="0" fontId="13" fillId="6" borderId="0" xfId="0" applyFont="1" applyFill="1" applyAlignment="1">
      <alignment horizontal="center" vertical="center"/>
    </xf>
    <xf numFmtId="0" fontId="14" fillId="3" borderId="1" xfId="2" applyFont="1" applyBorder="1" applyAlignment="1">
      <alignment horizontal="left" vertical="top" wrapText="1"/>
    </xf>
    <xf numFmtId="0" fontId="16" fillId="9" borderId="0" xfId="0" applyFont="1" applyFill="1" applyAlignment="1">
      <alignment horizontal="center" vertical="center"/>
    </xf>
  </cellXfs>
  <cellStyles count="4">
    <cellStyle name="Bad" xfId="2" builtinId="27"/>
    <cellStyle name="Calculation" xfId="3" builtinId="2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
  <sheetViews>
    <sheetView tabSelected="1" workbookViewId="0">
      <selection sqref="A1:T1"/>
    </sheetView>
  </sheetViews>
  <sheetFormatPr defaultRowHeight="14.4" x14ac:dyDescent="0.3"/>
  <cols>
    <col min="1" max="1" width="24.6640625" customWidth="1"/>
    <col min="3" max="3" width="27.5546875" customWidth="1"/>
  </cols>
  <sheetData>
    <row r="1" spans="1:20" ht="62.4" customHeight="1" x14ac:dyDescent="0.3">
      <c r="A1" s="1" t="s">
        <v>0</v>
      </c>
      <c r="B1" s="2"/>
      <c r="C1" s="2"/>
      <c r="D1" s="2"/>
      <c r="E1" s="2"/>
      <c r="F1" s="2"/>
      <c r="G1" s="2"/>
      <c r="H1" s="2"/>
      <c r="I1" s="2"/>
      <c r="J1" s="2"/>
      <c r="K1" s="2"/>
      <c r="L1" s="2"/>
      <c r="M1" s="2"/>
      <c r="N1" s="2"/>
      <c r="O1" s="2"/>
      <c r="P1" s="2"/>
      <c r="Q1" s="2"/>
      <c r="R1" s="2"/>
      <c r="S1" s="2"/>
      <c r="T1" s="2"/>
    </row>
    <row r="3" spans="1:20" ht="17.399999999999999" x14ac:dyDescent="0.35">
      <c r="A3" s="17" t="s">
        <v>9</v>
      </c>
      <c r="B3" s="16"/>
      <c r="C3" s="21"/>
      <c r="D3" s="21"/>
      <c r="E3" s="21"/>
      <c r="F3" s="21"/>
      <c r="G3" s="16"/>
    </row>
    <row r="4" spans="1:20" ht="15.6" customHeight="1" x14ac:dyDescent="0.35">
      <c r="A4" s="18">
        <v>10</v>
      </c>
      <c r="B4" s="16"/>
      <c r="C4" s="22" t="s">
        <v>10</v>
      </c>
      <c r="D4" s="21">
        <f>AVERAGE(A4:A10)</f>
        <v>12.428571428571429</v>
      </c>
      <c r="E4" s="21"/>
      <c r="F4" s="21"/>
      <c r="G4" s="16"/>
    </row>
    <row r="5" spans="1:20" ht="17.399999999999999" x14ac:dyDescent="0.35">
      <c r="A5" s="18">
        <v>12</v>
      </c>
      <c r="B5" s="16"/>
      <c r="C5" s="22" t="s">
        <v>11</v>
      </c>
      <c r="D5" s="21">
        <f>MEDIAN(A4:A10)</f>
        <v>12</v>
      </c>
      <c r="E5" s="21"/>
      <c r="F5" s="21"/>
      <c r="G5" s="16"/>
    </row>
    <row r="6" spans="1:20" ht="17.399999999999999" x14ac:dyDescent="0.35">
      <c r="A6" s="18">
        <v>11</v>
      </c>
      <c r="B6" s="16"/>
      <c r="C6" s="22" t="s">
        <v>12</v>
      </c>
      <c r="D6" s="21">
        <f>MODE(A4:A10)</f>
        <v>12</v>
      </c>
      <c r="E6" s="21"/>
      <c r="F6" s="21"/>
      <c r="G6" s="16"/>
    </row>
    <row r="7" spans="1:20" ht="17.399999999999999" x14ac:dyDescent="0.35">
      <c r="A7" s="18">
        <v>15</v>
      </c>
      <c r="B7" s="16"/>
      <c r="C7" s="21"/>
      <c r="D7" s="21"/>
      <c r="E7" s="21"/>
      <c r="F7" s="21"/>
      <c r="G7" s="16"/>
    </row>
    <row r="8" spans="1:20" ht="17.399999999999999" x14ac:dyDescent="0.35">
      <c r="A8" s="18">
        <v>14</v>
      </c>
      <c r="B8" s="16"/>
      <c r="C8" s="21"/>
      <c r="D8" s="21"/>
      <c r="E8" s="21"/>
      <c r="F8" s="21"/>
      <c r="G8" s="16"/>
    </row>
    <row r="9" spans="1:20" ht="17.399999999999999" x14ac:dyDescent="0.35">
      <c r="A9" s="18">
        <v>13</v>
      </c>
      <c r="B9" s="16"/>
      <c r="C9" s="22" t="s">
        <v>14</v>
      </c>
      <c r="D9" s="21">
        <v>12</v>
      </c>
      <c r="E9" s="21"/>
      <c r="F9" s="21"/>
      <c r="G9" s="16"/>
    </row>
    <row r="10" spans="1:20" ht="17.399999999999999" x14ac:dyDescent="0.35">
      <c r="A10" s="18">
        <v>12</v>
      </c>
      <c r="B10" s="16"/>
      <c r="C10" s="21"/>
      <c r="D10" s="21"/>
      <c r="E10" s="21"/>
      <c r="F10" s="21"/>
      <c r="G10" s="16"/>
    </row>
    <row r="11" spans="1:20" x14ac:dyDescent="0.3">
      <c r="A11" s="12"/>
    </row>
    <row r="12" spans="1:20" ht="48" customHeight="1" x14ac:dyDescent="0.3">
      <c r="C12" s="23" t="s">
        <v>13</v>
      </c>
      <c r="D12" s="23"/>
      <c r="E12" s="23"/>
      <c r="F12" s="23"/>
      <c r="G12" s="23"/>
      <c r="H12" s="23"/>
      <c r="I12" s="23"/>
      <c r="J12" s="23"/>
      <c r="K12" s="23"/>
      <c r="L12" s="23"/>
      <c r="M12" s="23"/>
      <c r="N12" s="23"/>
      <c r="O12" s="23"/>
      <c r="P12" s="23"/>
      <c r="Q12" s="23"/>
      <c r="R12" s="23"/>
      <c r="S12" s="23"/>
    </row>
  </sheetData>
  <mergeCells count="2">
    <mergeCell ref="A1:T1"/>
    <mergeCell ref="C12:S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1"/>
  <sheetViews>
    <sheetView workbookViewId="0">
      <selection sqref="A1:U1"/>
    </sheetView>
  </sheetViews>
  <sheetFormatPr defaultRowHeight="14.4" x14ac:dyDescent="0.3"/>
  <sheetData>
    <row r="1" spans="1:39" ht="72" customHeight="1" x14ac:dyDescent="0.3">
      <c r="A1" s="3" t="s">
        <v>1</v>
      </c>
      <c r="B1" s="3"/>
      <c r="C1" s="3"/>
      <c r="D1" s="3"/>
      <c r="E1" s="3"/>
      <c r="F1" s="3"/>
      <c r="G1" s="3"/>
      <c r="H1" s="3"/>
      <c r="I1" s="3"/>
      <c r="J1" s="3"/>
      <c r="K1" s="3"/>
      <c r="L1" s="3"/>
      <c r="M1" s="3"/>
      <c r="N1" s="3"/>
      <c r="O1" s="3"/>
      <c r="P1" s="3"/>
      <c r="Q1" s="3"/>
      <c r="R1" s="3"/>
      <c r="S1" s="3"/>
      <c r="T1" s="3"/>
      <c r="U1" s="3"/>
    </row>
    <row r="3" spans="1:39" x14ac:dyDescent="0.3">
      <c r="A3" s="24" t="s">
        <v>15</v>
      </c>
    </row>
    <row r="4" spans="1:39" ht="18" x14ac:dyDescent="0.35">
      <c r="A4" s="25">
        <v>12</v>
      </c>
      <c r="D4" s="26" t="s">
        <v>10</v>
      </c>
      <c r="E4" s="27">
        <f>AVERAGE(A4:A10)</f>
        <v>16.285714285714285</v>
      </c>
      <c r="F4" s="27"/>
    </row>
    <row r="5" spans="1:39" x14ac:dyDescent="0.3">
      <c r="A5" s="25">
        <v>15</v>
      </c>
      <c r="D5" s="27"/>
      <c r="E5" s="27"/>
      <c r="F5" s="27"/>
    </row>
    <row r="6" spans="1:39" ht="19.2" customHeight="1" x14ac:dyDescent="0.3">
      <c r="A6" s="25">
        <v>14</v>
      </c>
      <c r="D6" s="27"/>
      <c r="E6" s="27"/>
      <c r="F6" s="27"/>
    </row>
    <row r="7" spans="1:39" x14ac:dyDescent="0.3">
      <c r="A7" s="25">
        <v>16</v>
      </c>
    </row>
    <row r="8" spans="1:39" x14ac:dyDescent="0.3">
      <c r="A8" s="25">
        <v>18</v>
      </c>
    </row>
    <row r="9" spans="1:39" x14ac:dyDescent="0.3">
      <c r="A9" s="25">
        <v>20</v>
      </c>
    </row>
    <row r="10" spans="1:39" x14ac:dyDescent="0.3">
      <c r="A10" s="25">
        <v>19</v>
      </c>
    </row>
    <row r="11" spans="1:39" ht="126" customHeight="1" x14ac:dyDescent="0.3">
      <c r="D11" s="28" t="s">
        <v>16</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row>
  </sheetData>
  <mergeCells count="2">
    <mergeCell ref="A1:U1"/>
    <mergeCell ref="D11:AM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workbookViewId="0">
      <selection sqref="A1:W1"/>
    </sheetView>
  </sheetViews>
  <sheetFormatPr defaultRowHeight="14.4" x14ac:dyDescent="0.3"/>
  <cols>
    <col min="1" max="1" width="20.88671875" customWidth="1"/>
    <col min="2" max="2" width="9.44140625" customWidth="1"/>
  </cols>
  <sheetData>
    <row r="1" spans="1:23" ht="89.4" customHeight="1" x14ac:dyDescent="0.3">
      <c r="A1" s="4" t="s">
        <v>2</v>
      </c>
      <c r="B1" s="5"/>
      <c r="C1" s="5"/>
      <c r="D1" s="5"/>
      <c r="E1" s="5"/>
      <c r="F1" s="5"/>
      <c r="G1" s="5"/>
      <c r="H1" s="5"/>
      <c r="I1" s="5"/>
      <c r="J1" s="5"/>
      <c r="K1" s="5"/>
      <c r="L1" s="5"/>
      <c r="M1" s="5"/>
      <c r="N1" s="5"/>
      <c r="O1" s="5"/>
      <c r="P1" s="5"/>
      <c r="Q1" s="5"/>
      <c r="R1" s="5"/>
      <c r="S1" s="5"/>
      <c r="T1" s="5"/>
      <c r="U1" s="5"/>
      <c r="V1" s="5"/>
      <c r="W1" s="6"/>
    </row>
    <row r="3" spans="1:23" ht="17.399999999999999" x14ac:dyDescent="0.3">
      <c r="A3" s="17" t="s">
        <v>17</v>
      </c>
      <c r="B3" s="12"/>
      <c r="C3" s="29"/>
      <c r="D3" s="29"/>
      <c r="E3" s="29"/>
    </row>
    <row r="4" spans="1:23" ht="17.399999999999999" x14ac:dyDescent="0.3">
      <c r="A4" s="18">
        <v>7</v>
      </c>
      <c r="B4" s="12"/>
      <c r="C4" s="29" t="s">
        <v>12</v>
      </c>
      <c r="D4" s="29">
        <f>MODE(A4:A11)</f>
        <v>8</v>
      </c>
      <c r="E4" s="29"/>
    </row>
    <row r="5" spans="1:23" ht="17.399999999999999" x14ac:dyDescent="0.3">
      <c r="A5" s="18">
        <v>8</v>
      </c>
      <c r="B5" s="12"/>
      <c r="C5" s="29"/>
      <c r="D5" s="29"/>
      <c r="E5" s="29"/>
    </row>
    <row r="6" spans="1:23" ht="17.399999999999999" x14ac:dyDescent="0.3">
      <c r="A6" s="18">
        <v>9</v>
      </c>
      <c r="B6" s="12"/>
      <c r="C6" s="12"/>
      <c r="D6" s="12"/>
      <c r="E6" s="12"/>
    </row>
    <row r="7" spans="1:23" ht="17.399999999999999" x14ac:dyDescent="0.3">
      <c r="A7" s="18">
        <v>8</v>
      </c>
      <c r="B7" s="12"/>
      <c r="C7" s="12"/>
      <c r="D7" s="12"/>
      <c r="E7" s="12"/>
    </row>
    <row r="8" spans="1:23" ht="17.399999999999999" x14ac:dyDescent="0.3">
      <c r="A8" s="18">
        <v>8</v>
      </c>
      <c r="B8" s="12"/>
      <c r="C8" s="12"/>
      <c r="D8" s="12"/>
      <c r="E8" s="12"/>
    </row>
    <row r="9" spans="1:23" ht="17.399999999999999" x14ac:dyDescent="0.3">
      <c r="A9" s="18">
        <v>10</v>
      </c>
      <c r="B9" s="12"/>
      <c r="C9" s="12"/>
      <c r="D9" s="12"/>
      <c r="E9" s="12"/>
    </row>
    <row r="10" spans="1:23" ht="17.399999999999999" x14ac:dyDescent="0.3">
      <c r="A10" s="18">
        <v>7</v>
      </c>
      <c r="B10" s="12"/>
      <c r="C10" s="12"/>
      <c r="D10" s="12"/>
      <c r="E10" s="12"/>
    </row>
    <row r="11" spans="1:23" ht="17.399999999999999" x14ac:dyDescent="0.3">
      <c r="A11" s="18">
        <v>9</v>
      </c>
      <c r="B11" s="12"/>
      <c r="C11" s="12"/>
      <c r="D11" s="12"/>
      <c r="E11" s="12"/>
    </row>
    <row r="12" spans="1:23" ht="61.2" customHeight="1" x14ac:dyDescent="0.3">
      <c r="C12" s="30" t="s">
        <v>18</v>
      </c>
      <c r="D12" s="31"/>
      <c r="E12" s="31"/>
      <c r="F12" s="31"/>
      <c r="G12" s="31"/>
      <c r="H12" s="31"/>
      <c r="I12" s="31"/>
      <c r="J12" s="31"/>
      <c r="K12" s="31"/>
      <c r="L12" s="31"/>
      <c r="M12" s="31"/>
      <c r="N12" s="31"/>
      <c r="O12" s="31"/>
      <c r="P12" s="31"/>
      <c r="Q12" s="31"/>
    </row>
  </sheetData>
  <mergeCells count="2">
    <mergeCell ref="A1:W1"/>
    <mergeCell ref="C12:Q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workbookViewId="0">
      <selection sqref="A1:W1"/>
    </sheetView>
  </sheetViews>
  <sheetFormatPr defaultRowHeight="14.4" x14ac:dyDescent="0.3"/>
  <cols>
    <col min="1" max="1" width="31.109375" customWidth="1"/>
  </cols>
  <sheetData>
    <row r="1" spans="1:23" ht="67.8" customHeight="1" x14ac:dyDescent="0.3">
      <c r="A1" s="9" t="s">
        <v>3</v>
      </c>
      <c r="B1" s="32"/>
      <c r="C1" s="32"/>
      <c r="D1" s="32"/>
      <c r="E1" s="32"/>
      <c r="F1" s="32"/>
      <c r="G1" s="32"/>
      <c r="H1" s="32"/>
      <c r="I1" s="32"/>
      <c r="J1" s="32"/>
      <c r="K1" s="32"/>
      <c r="L1" s="32"/>
      <c r="M1" s="32"/>
      <c r="N1" s="32"/>
      <c r="O1" s="32"/>
      <c r="P1" s="32"/>
      <c r="Q1" s="32"/>
      <c r="R1" s="32"/>
      <c r="S1" s="32"/>
      <c r="T1" s="32"/>
      <c r="U1" s="32"/>
      <c r="V1" s="32"/>
      <c r="W1" s="33"/>
    </row>
    <row r="3" spans="1:23" ht="17.399999999999999" x14ac:dyDescent="0.35">
      <c r="A3" s="34" t="s">
        <v>19</v>
      </c>
    </row>
    <row r="4" spans="1:23" ht="17.399999999999999" x14ac:dyDescent="0.3">
      <c r="A4" s="35">
        <v>8000</v>
      </c>
      <c r="B4" s="27"/>
      <c r="C4" s="27"/>
      <c r="D4" s="27"/>
    </row>
    <row r="5" spans="1:23" ht="17.399999999999999" x14ac:dyDescent="0.35">
      <c r="A5" s="35">
        <v>9500</v>
      </c>
      <c r="B5" s="20" t="s">
        <v>11</v>
      </c>
      <c r="C5" s="36">
        <f>MEDIAN(A4:A8)</f>
        <v>10200</v>
      </c>
      <c r="D5" s="27"/>
    </row>
    <row r="6" spans="1:23" ht="17.399999999999999" x14ac:dyDescent="0.3">
      <c r="A6" s="35">
        <v>10200</v>
      </c>
      <c r="B6" s="27"/>
      <c r="C6" s="27"/>
      <c r="D6" s="27"/>
    </row>
    <row r="7" spans="1:23" ht="17.399999999999999" x14ac:dyDescent="0.3">
      <c r="A7" s="35">
        <v>11000</v>
      </c>
    </row>
    <row r="8" spans="1:23" ht="17.399999999999999" x14ac:dyDescent="0.3">
      <c r="A8" s="35">
        <v>50000</v>
      </c>
    </row>
    <row r="9" spans="1:23" ht="44.4" customHeight="1" x14ac:dyDescent="0.3">
      <c r="B9" s="37" t="s">
        <v>20</v>
      </c>
      <c r="C9" s="37"/>
      <c r="D9" s="37"/>
      <c r="E9" s="37"/>
      <c r="F9" s="37"/>
      <c r="G9" s="37"/>
      <c r="H9" s="37"/>
      <c r="I9" s="37"/>
      <c r="J9" s="37"/>
      <c r="K9" s="37"/>
      <c r="L9" s="37"/>
      <c r="M9" s="37"/>
      <c r="N9" s="37"/>
      <c r="O9" s="37"/>
      <c r="P9" s="37"/>
      <c r="Q9" s="37"/>
      <c r="R9" s="37"/>
      <c r="S9" s="37"/>
      <c r="T9" s="37"/>
      <c r="U9" s="37"/>
      <c r="V9" s="37"/>
      <c r="W9" s="37"/>
    </row>
  </sheetData>
  <mergeCells count="2">
    <mergeCell ref="A1:W1"/>
    <mergeCell ref="B9:W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
  <sheetViews>
    <sheetView workbookViewId="0">
      <selection sqref="A1:AK1"/>
    </sheetView>
  </sheetViews>
  <sheetFormatPr defaultRowHeight="14.4" x14ac:dyDescent="0.3"/>
  <cols>
    <col min="1" max="1" width="12.88671875" bestFit="1" customWidth="1"/>
    <col min="3" max="3" width="28.21875" customWidth="1"/>
  </cols>
  <sheetData>
    <row r="1" spans="1:37" ht="73.8" customHeight="1" x14ac:dyDescent="0.3">
      <c r="A1" s="9" t="s">
        <v>4</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1"/>
    </row>
    <row r="2" spans="1:37" ht="17.399999999999999" x14ac:dyDescent="0.35">
      <c r="A2" s="16"/>
      <c r="B2" s="16"/>
      <c r="C2" s="16"/>
      <c r="D2" s="16"/>
      <c r="E2" s="16"/>
      <c r="F2" s="16"/>
      <c r="G2" s="16"/>
      <c r="H2" s="16"/>
      <c r="I2" s="16"/>
      <c r="J2" s="16"/>
      <c r="K2" s="16"/>
      <c r="L2" s="16"/>
      <c r="M2" s="16"/>
      <c r="N2" s="16"/>
      <c r="O2" s="16"/>
      <c r="P2" s="16"/>
      <c r="Q2" s="16"/>
      <c r="R2" s="16"/>
      <c r="S2" s="16"/>
      <c r="T2" s="16"/>
    </row>
    <row r="3" spans="1:37" ht="17.399999999999999" x14ac:dyDescent="0.3">
      <c r="A3" s="39" t="s">
        <v>21</v>
      </c>
      <c r="B3" s="38"/>
      <c r="C3" s="41"/>
      <c r="D3" s="41"/>
      <c r="E3" s="41"/>
      <c r="F3" s="41"/>
      <c r="G3" s="38"/>
      <c r="H3" s="38"/>
      <c r="I3" s="38"/>
      <c r="J3" s="38"/>
      <c r="K3" s="38"/>
      <c r="L3" s="38"/>
      <c r="M3" s="38"/>
      <c r="N3" s="38"/>
      <c r="O3" s="38"/>
      <c r="P3" s="38"/>
      <c r="Q3" s="38"/>
      <c r="R3" s="38"/>
      <c r="S3" s="38"/>
      <c r="T3" s="38"/>
    </row>
    <row r="4" spans="1:37" ht="17.399999999999999" x14ac:dyDescent="0.3">
      <c r="A4" s="40">
        <v>25</v>
      </c>
      <c r="B4" s="38"/>
      <c r="C4" s="41"/>
      <c r="D4" s="41"/>
      <c r="E4" s="41"/>
      <c r="F4" s="41"/>
      <c r="G4" s="38"/>
      <c r="H4" s="38"/>
      <c r="I4" s="38"/>
      <c r="J4" s="38"/>
      <c r="K4" s="38"/>
      <c r="L4" s="38"/>
      <c r="M4" s="38"/>
      <c r="N4" s="38"/>
      <c r="O4" s="38"/>
      <c r="P4" s="38"/>
      <c r="Q4" s="38"/>
      <c r="R4" s="38"/>
      <c r="S4" s="38"/>
      <c r="T4" s="38"/>
    </row>
    <row r="5" spans="1:37" ht="17.399999999999999" x14ac:dyDescent="0.3">
      <c r="A5" s="40">
        <v>30</v>
      </c>
      <c r="B5" s="38"/>
      <c r="C5" s="41" t="s">
        <v>23</v>
      </c>
      <c r="D5" s="41">
        <f>MAX(A4:A8)</f>
        <v>40</v>
      </c>
      <c r="E5" s="41"/>
      <c r="F5" s="41"/>
      <c r="G5" s="38"/>
      <c r="H5" s="38"/>
      <c r="I5" s="38"/>
      <c r="J5" s="38"/>
      <c r="K5" s="38"/>
      <c r="L5" s="38"/>
      <c r="M5" s="38"/>
      <c r="N5" s="38"/>
      <c r="O5" s="38"/>
      <c r="P5" s="38"/>
      <c r="Q5" s="38"/>
      <c r="R5" s="38"/>
      <c r="S5" s="38"/>
      <c r="T5" s="38"/>
    </row>
    <row r="6" spans="1:37" ht="17.399999999999999" x14ac:dyDescent="0.3">
      <c r="A6" s="40">
        <v>27</v>
      </c>
      <c r="B6" s="38"/>
      <c r="C6" s="41" t="s">
        <v>24</v>
      </c>
      <c r="D6" s="41">
        <f>MIN(A4:A8)</f>
        <v>25</v>
      </c>
      <c r="E6" s="41"/>
      <c r="F6" s="41"/>
      <c r="G6" s="38"/>
      <c r="H6" s="38"/>
      <c r="I6" s="38"/>
      <c r="J6" s="38"/>
      <c r="K6" s="38"/>
      <c r="L6" s="38"/>
      <c r="M6" s="38"/>
      <c r="N6" s="38"/>
      <c r="O6" s="38"/>
      <c r="P6" s="38"/>
      <c r="Q6" s="38"/>
      <c r="R6" s="38"/>
      <c r="S6" s="38"/>
      <c r="T6" s="38"/>
    </row>
    <row r="7" spans="1:37" ht="17.399999999999999" x14ac:dyDescent="0.3">
      <c r="A7" s="40">
        <v>35</v>
      </c>
      <c r="B7" s="38"/>
      <c r="C7" s="41" t="s">
        <v>25</v>
      </c>
      <c r="D7" s="41">
        <f>D5-D6</f>
        <v>15</v>
      </c>
      <c r="E7" s="41"/>
      <c r="F7" s="41"/>
      <c r="G7" s="38"/>
      <c r="H7" s="38"/>
      <c r="I7" s="38"/>
      <c r="J7" s="38"/>
      <c r="K7" s="38"/>
      <c r="L7" s="38"/>
      <c r="M7" s="38"/>
      <c r="N7" s="38"/>
      <c r="O7" s="38"/>
      <c r="P7" s="38"/>
      <c r="Q7" s="38"/>
      <c r="R7" s="38"/>
      <c r="S7" s="38"/>
      <c r="T7" s="38"/>
    </row>
    <row r="8" spans="1:37" ht="17.399999999999999" x14ac:dyDescent="0.3">
      <c r="A8" s="40">
        <v>40</v>
      </c>
      <c r="B8" s="38"/>
      <c r="C8" s="41"/>
      <c r="D8" s="41"/>
      <c r="E8" s="41"/>
      <c r="F8" s="41"/>
      <c r="G8" s="38"/>
      <c r="H8" s="38"/>
      <c r="I8" s="38"/>
      <c r="J8" s="38"/>
      <c r="K8" s="38"/>
      <c r="L8" s="38"/>
      <c r="M8" s="38"/>
      <c r="N8" s="38"/>
      <c r="O8" s="38"/>
      <c r="P8" s="38"/>
      <c r="Q8" s="38"/>
      <c r="R8" s="38"/>
      <c r="S8" s="38"/>
      <c r="T8" s="38"/>
    </row>
    <row r="9" spans="1:37" ht="17.399999999999999" x14ac:dyDescent="0.3">
      <c r="A9" s="38"/>
      <c r="B9" s="38"/>
      <c r="C9" s="38"/>
      <c r="D9" s="38"/>
      <c r="E9" s="38"/>
      <c r="F9" s="38"/>
      <c r="G9" s="38"/>
      <c r="H9" s="38"/>
      <c r="I9" s="38"/>
      <c r="J9" s="38"/>
      <c r="K9" s="38"/>
      <c r="L9" s="38"/>
      <c r="M9" s="38"/>
      <c r="N9" s="38"/>
      <c r="O9" s="38"/>
      <c r="P9" s="38"/>
      <c r="Q9" s="38"/>
      <c r="R9" s="38"/>
      <c r="S9" s="38"/>
      <c r="T9" s="38"/>
    </row>
    <row r="10" spans="1:37" ht="55.2" customHeight="1" x14ac:dyDescent="0.3">
      <c r="A10" s="38"/>
      <c r="B10" s="38"/>
      <c r="C10" s="37" t="s">
        <v>26</v>
      </c>
      <c r="D10" s="37"/>
      <c r="E10" s="37"/>
      <c r="F10" s="37"/>
      <c r="G10" s="37"/>
      <c r="H10" s="37"/>
      <c r="I10" s="37"/>
      <c r="J10" s="37"/>
      <c r="K10" s="37"/>
      <c r="L10" s="37"/>
      <c r="M10" s="37"/>
      <c r="N10" s="37"/>
      <c r="O10" s="37"/>
      <c r="P10" s="37"/>
      <c r="Q10" s="37"/>
      <c r="R10" s="37"/>
      <c r="S10" s="37"/>
      <c r="T10" s="37"/>
    </row>
  </sheetData>
  <mergeCells count="2">
    <mergeCell ref="A1:AK1"/>
    <mergeCell ref="C10:T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
  <sheetViews>
    <sheetView workbookViewId="0">
      <selection sqref="A1:AG1"/>
    </sheetView>
  </sheetViews>
  <sheetFormatPr defaultRowHeight="14.4" x14ac:dyDescent="0.3"/>
  <cols>
    <col min="1" max="1" width="16.6640625" customWidth="1"/>
    <col min="3" max="3" width="22.77734375" customWidth="1"/>
  </cols>
  <sheetData>
    <row r="1" spans="1:33" s="7" customFormat="1" ht="69.599999999999994" customHeight="1" x14ac:dyDescent="0.3">
      <c r="A1" s="8" t="s">
        <v>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3" spans="1:33" ht="17.399999999999999" x14ac:dyDescent="0.3">
      <c r="A3" s="43" t="s">
        <v>27</v>
      </c>
      <c r="B3" s="38"/>
      <c r="C3" s="41"/>
      <c r="D3" s="41"/>
      <c r="E3" s="41"/>
      <c r="F3" s="41"/>
      <c r="G3" s="38"/>
      <c r="H3" s="38"/>
      <c r="I3" s="38"/>
      <c r="J3" s="38"/>
      <c r="K3" s="38"/>
      <c r="L3" s="38"/>
      <c r="M3" s="38"/>
      <c r="N3" s="38"/>
      <c r="O3" s="38"/>
      <c r="P3" s="38"/>
      <c r="Q3" s="38"/>
      <c r="R3" s="38"/>
      <c r="S3" s="38"/>
      <c r="T3" s="38"/>
    </row>
    <row r="4" spans="1:33" ht="17.399999999999999" x14ac:dyDescent="0.3">
      <c r="A4" s="44">
        <v>100</v>
      </c>
      <c r="B4" s="38"/>
      <c r="C4" s="41" t="s">
        <v>29</v>
      </c>
      <c r="D4" s="41">
        <f>MAX(A4:A8)</f>
        <v>120</v>
      </c>
      <c r="E4" s="41"/>
      <c r="F4" s="41"/>
      <c r="G4" s="38"/>
      <c r="H4" s="38"/>
      <c r="I4" s="38"/>
      <c r="J4" s="38"/>
      <c r="K4" s="38"/>
      <c r="L4" s="38"/>
      <c r="M4" s="38"/>
      <c r="N4" s="38"/>
      <c r="O4" s="38"/>
      <c r="P4" s="38"/>
      <c r="Q4" s="38"/>
      <c r="R4" s="38"/>
      <c r="S4" s="38"/>
      <c r="T4" s="38"/>
    </row>
    <row r="5" spans="1:33" ht="17.399999999999999" x14ac:dyDescent="0.3">
      <c r="A5" s="44">
        <v>105</v>
      </c>
      <c r="B5" s="38"/>
      <c r="C5" s="41" t="s">
        <v>30</v>
      </c>
      <c r="D5" s="41">
        <f>MIN(A4:A8)</f>
        <v>98</v>
      </c>
      <c r="E5" s="41"/>
      <c r="F5" s="41"/>
      <c r="G5" s="38"/>
      <c r="H5" s="38"/>
      <c r="I5" s="38"/>
      <c r="J5" s="38"/>
      <c r="K5" s="38"/>
      <c r="L5" s="38"/>
      <c r="M5" s="38"/>
      <c r="N5" s="38"/>
      <c r="O5" s="38"/>
      <c r="P5" s="38"/>
      <c r="Q5" s="38"/>
      <c r="R5" s="38"/>
      <c r="S5" s="38"/>
      <c r="T5" s="38"/>
    </row>
    <row r="6" spans="1:33" ht="17.399999999999999" x14ac:dyDescent="0.3">
      <c r="A6" s="44">
        <v>98</v>
      </c>
      <c r="B6" s="38"/>
      <c r="C6" s="41"/>
      <c r="D6" s="41"/>
      <c r="E6" s="41"/>
      <c r="F6" s="41"/>
      <c r="G6" s="38"/>
      <c r="H6" s="38"/>
      <c r="I6" s="38"/>
      <c r="J6" s="38"/>
      <c r="K6" s="38"/>
      <c r="L6" s="38"/>
      <c r="M6" s="38"/>
      <c r="N6" s="38"/>
      <c r="O6" s="38"/>
      <c r="P6" s="38"/>
      <c r="Q6" s="38"/>
      <c r="R6" s="38"/>
      <c r="S6" s="38"/>
      <c r="T6" s="38"/>
    </row>
    <row r="7" spans="1:33" ht="17.399999999999999" x14ac:dyDescent="0.3">
      <c r="A7" s="44">
        <v>110</v>
      </c>
      <c r="B7" s="38"/>
      <c r="C7" s="41" t="s">
        <v>22</v>
      </c>
      <c r="D7" s="41">
        <f>D4-D5</f>
        <v>22</v>
      </c>
      <c r="E7" s="41"/>
      <c r="F7" s="41"/>
      <c r="G7" s="38"/>
      <c r="H7" s="38"/>
      <c r="I7" s="38"/>
      <c r="J7" s="38"/>
      <c r="K7" s="38"/>
      <c r="L7" s="38"/>
      <c r="M7" s="38"/>
      <c r="N7" s="38"/>
      <c r="O7" s="38"/>
      <c r="P7" s="38"/>
      <c r="Q7" s="38"/>
      <c r="R7" s="38"/>
      <c r="S7" s="38"/>
      <c r="T7" s="38"/>
    </row>
    <row r="8" spans="1:33" ht="17.399999999999999" x14ac:dyDescent="0.3">
      <c r="A8" s="44">
        <v>120</v>
      </c>
      <c r="B8" s="38"/>
      <c r="C8" s="41"/>
      <c r="D8" s="41"/>
      <c r="E8" s="41"/>
      <c r="F8" s="41"/>
      <c r="G8" s="38"/>
      <c r="H8" s="38"/>
      <c r="I8" s="38"/>
      <c r="J8" s="38"/>
      <c r="K8" s="38"/>
      <c r="L8" s="38"/>
      <c r="M8" s="38"/>
      <c r="N8" s="38"/>
      <c r="O8" s="38"/>
      <c r="P8" s="38"/>
      <c r="Q8" s="38"/>
      <c r="R8" s="38"/>
      <c r="S8" s="38"/>
      <c r="T8" s="38"/>
    </row>
    <row r="9" spans="1:33" ht="17.399999999999999" x14ac:dyDescent="0.3">
      <c r="A9" s="38"/>
      <c r="B9" s="38"/>
      <c r="C9" s="38"/>
      <c r="D9" s="38"/>
      <c r="E9" s="38"/>
      <c r="F9" s="38"/>
      <c r="G9" s="38"/>
      <c r="H9" s="38"/>
      <c r="I9" s="38"/>
      <c r="J9" s="38"/>
      <c r="K9" s="38"/>
      <c r="L9" s="38"/>
      <c r="M9" s="38"/>
      <c r="N9" s="38"/>
      <c r="O9" s="38"/>
      <c r="P9" s="38"/>
      <c r="Q9" s="38"/>
      <c r="R9" s="38"/>
      <c r="S9" s="38"/>
      <c r="T9" s="38"/>
    </row>
    <row r="10" spans="1:33" ht="37.200000000000003" customHeight="1" x14ac:dyDescent="0.3">
      <c r="A10" s="38"/>
      <c r="B10" s="38"/>
      <c r="C10" s="42" t="s">
        <v>28</v>
      </c>
      <c r="D10" s="42"/>
      <c r="E10" s="42"/>
      <c r="F10" s="42"/>
      <c r="G10" s="42"/>
      <c r="H10" s="42"/>
      <c r="I10" s="42"/>
      <c r="J10" s="42"/>
      <c r="K10" s="42"/>
      <c r="L10" s="42"/>
      <c r="M10" s="42"/>
      <c r="N10" s="42"/>
      <c r="O10" s="42"/>
      <c r="P10" s="42"/>
      <c r="Q10" s="42"/>
      <c r="R10" s="42"/>
      <c r="S10" s="42"/>
      <c r="T10" s="42"/>
    </row>
  </sheetData>
  <mergeCells count="2">
    <mergeCell ref="A1:AG1"/>
    <mergeCell ref="C10:T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
  <sheetViews>
    <sheetView workbookViewId="0">
      <selection sqref="A1:AE1"/>
    </sheetView>
  </sheetViews>
  <sheetFormatPr defaultRowHeight="14.4" x14ac:dyDescent="0.3"/>
  <sheetData>
    <row r="1" spans="1:31" ht="99.6" customHeight="1" x14ac:dyDescent="0.3">
      <c r="A1" s="8" t="s">
        <v>31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row>
    <row r="3" spans="1:31" ht="18" x14ac:dyDescent="0.3">
      <c r="A3" s="13" t="s">
        <v>32</v>
      </c>
      <c r="B3" s="13"/>
      <c r="C3" s="13"/>
      <c r="D3" s="13"/>
      <c r="E3" s="13"/>
      <c r="F3" s="13"/>
      <c r="G3" s="13"/>
      <c r="H3" s="13"/>
      <c r="I3" s="13"/>
      <c r="J3" s="13"/>
      <c r="K3" s="13"/>
      <c r="L3" s="13"/>
      <c r="M3" s="13"/>
      <c r="N3" s="13"/>
    </row>
  </sheetData>
  <mergeCells count="2">
    <mergeCell ref="A1:AE1"/>
    <mergeCell ref="A3: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
  <sheetViews>
    <sheetView workbookViewId="0">
      <selection sqref="A1:AL1"/>
    </sheetView>
  </sheetViews>
  <sheetFormatPr defaultRowHeight="14.4" x14ac:dyDescent="0.3"/>
  <cols>
    <col min="1" max="1" width="73.6640625" customWidth="1"/>
  </cols>
  <sheetData>
    <row r="1" spans="1:38" ht="90" customHeight="1" x14ac:dyDescent="0.3">
      <c r="A1" s="8" t="s">
        <v>6</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row>
    <row r="2" spans="1:38" ht="18" x14ac:dyDescent="0.35">
      <c r="A2" s="15" t="s">
        <v>34</v>
      </c>
    </row>
    <row r="4" spans="1:38" s="14" customFormat="1" ht="95.4" customHeight="1" x14ac:dyDescent="0.3">
      <c r="A4" s="45" t="s">
        <v>33</v>
      </c>
      <c r="B4" s="45"/>
      <c r="C4" s="45"/>
      <c r="D4" s="45"/>
      <c r="E4" s="45"/>
      <c r="F4" s="45"/>
      <c r="G4" s="45"/>
    </row>
  </sheetData>
  <mergeCells count="2">
    <mergeCell ref="A1:AL1"/>
    <mergeCell ref="A4:G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
  <sheetViews>
    <sheetView workbookViewId="0">
      <selection sqref="A1:AS1"/>
    </sheetView>
  </sheetViews>
  <sheetFormatPr defaultRowHeight="14.4" x14ac:dyDescent="0.3"/>
  <cols>
    <col min="1" max="1" width="28.6640625" customWidth="1"/>
    <col min="3" max="3" width="28" customWidth="1"/>
  </cols>
  <sheetData>
    <row r="1" spans="1:45" ht="83.4" customHeight="1" x14ac:dyDescent="0.3">
      <c r="A1" s="8" t="s">
        <v>7</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row>
    <row r="2" spans="1:45" ht="17.399999999999999" x14ac:dyDescent="0.35">
      <c r="A2" s="16"/>
      <c r="B2" s="16"/>
      <c r="C2" s="16"/>
      <c r="D2" s="16"/>
      <c r="E2" s="16"/>
      <c r="F2" s="16"/>
      <c r="G2" s="16"/>
      <c r="H2" s="16"/>
      <c r="I2" s="16"/>
      <c r="J2" s="16"/>
      <c r="K2" s="16"/>
      <c r="L2" s="16"/>
      <c r="M2" s="16"/>
      <c r="N2" s="16"/>
      <c r="O2" s="16"/>
      <c r="P2" s="16"/>
      <c r="Q2" s="16"/>
      <c r="R2" s="16"/>
      <c r="S2" s="16"/>
    </row>
    <row r="3" spans="1:45" ht="17.399999999999999" x14ac:dyDescent="0.35">
      <c r="A3" s="43" t="s">
        <v>35</v>
      </c>
      <c r="B3" s="38"/>
      <c r="C3" s="41"/>
      <c r="D3" s="41"/>
      <c r="E3" s="41"/>
      <c r="F3" s="41"/>
      <c r="G3" s="19"/>
      <c r="H3" s="16"/>
      <c r="I3" s="16"/>
      <c r="J3" s="16"/>
      <c r="K3" s="16"/>
      <c r="L3" s="16"/>
      <c r="M3" s="16"/>
      <c r="N3" s="16"/>
      <c r="O3" s="16"/>
      <c r="P3" s="16"/>
      <c r="Q3" s="16"/>
      <c r="R3" s="16"/>
      <c r="S3" s="16"/>
    </row>
    <row r="4" spans="1:45" ht="17.399999999999999" x14ac:dyDescent="0.35">
      <c r="A4" s="44">
        <v>400</v>
      </c>
      <c r="B4" s="38"/>
      <c r="C4" s="41"/>
      <c r="D4" s="41"/>
      <c r="E4" s="41"/>
      <c r="F4" s="41"/>
      <c r="G4" s="19"/>
      <c r="H4" s="16"/>
      <c r="I4" s="16"/>
      <c r="J4" s="16"/>
      <c r="K4" s="16"/>
      <c r="L4" s="16"/>
      <c r="M4" s="16"/>
      <c r="N4" s="16"/>
      <c r="O4" s="16"/>
      <c r="P4" s="16"/>
      <c r="Q4" s="16"/>
      <c r="R4" s="16"/>
      <c r="S4" s="16"/>
    </row>
    <row r="5" spans="1:45" ht="17.399999999999999" x14ac:dyDescent="0.35">
      <c r="A5" s="44">
        <v>420</v>
      </c>
      <c r="B5" s="38"/>
      <c r="C5" s="41" t="s">
        <v>10</v>
      </c>
      <c r="D5" s="41">
        <f>AVERAGE(A4:A8)</f>
        <v>414</v>
      </c>
      <c r="E5" s="41"/>
      <c r="F5" s="41"/>
      <c r="G5" s="19"/>
      <c r="H5" s="16"/>
      <c r="I5" s="16"/>
      <c r="J5" s="16"/>
      <c r="K5" s="16"/>
      <c r="L5" s="16"/>
      <c r="M5" s="16"/>
      <c r="N5" s="16"/>
      <c r="O5" s="16"/>
      <c r="P5" s="16"/>
      <c r="Q5" s="16"/>
      <c r="R5" s="16"/>
      <c r="S5" s="16"/>
    </row>
    <row r="6" spans="1:45" ht="17.399999999999999" x14ac:dyDescent="0.35">
      <c r="A6" s="44">
        <v>390</v>
      </c>
      <c r="B6" s="38"/>
      <c r="C6" s="41" t="s">
        <v>36</v>
      </c>
      <c r="D6" s="41">
        <f>_xlfn.STDEV.P(A4:A8)</f>
        <v>20.591260281974002</v>
      </c>
      <c r="E6" s="41"/>
      <c r="F6" s="41"/>
      <c r="G6" s="19"/>
      <c r="H6" s="16"/>
      <c r="I6" s="16"/>
      <c r="J6" s="16"/>
      <c r="K6" s="16"/>
      <c r="L6" s="16"/>
      <c r="M6" s="16"/>
      <c r="N6" s="16"/>
      <c r="O6" s="16"/>
      <c r="P6" s="16"/>
      <c r="Q6" s="16"/>
      <c r="R6" s="16"/>
      <c r="S6" s="16"/>
    </row>
    <row r="7" spans="1:45" ht="17.399999999999999" x14ac:dyDescent="0.35">
      <c r="A7" s="44">
        <v>450</v>
      </c>
      <c r="B7" s="38"/>
      <c r="C7" s="41"/>
      <c r="D7" s="41"/>
      <c r="E7" s="41"/>
      <c r="F7" s="41"/>
      <c r="G7" s="19"/>
      <c r="H7" s="16"/>
      <c r="I7" s="16"/>
      <c r="J7" s="16"/>
      <c r="K7" s="16"/>
      <c r="L7" s="16"/>
      <c r="M7" s="16"/>
      <c r="N7" s="16"/>
      <c r="O7" s="16"/>
      <c r="P7" s="16"/>
      <c r="Q7" s="16"/>
      <c r="R7" s="16"/>
      <c r="S7" s="16"/>
    </row>
    <row r="8" spans="1:45" ht="17.399999999999999" x14ac:dyDescent="0.35">
      <c r="A8" s="44">
        <v>410</v>
      </c>
      <c r="B8" s="38"/>
      <c r="C8" s="41"/>
      <c r="D8" s="41"/>
      <c r="E8" s="41"/>
      <c r="F8" s="41"/>
      <c r="G8" s="19"/>
      <c r="H8" s="16"/>
      <c r="I8" s="16"/>
      <c r="J8" s="16"/>
      <c r="K8" s="16"/>
      <c r="L8" s="16"/>
      <c r="M8" s="16"/>
      <c r="N8" s="16"/>
      <c r="O8" s="16"/>
      <c r="P8" s="16"/>
      <c r="Q8" s="16"/>
      <c r="R8" s="16"/>
      <c r="S8" s="16"/>
    </row>
    <row r="9" spans="1:45" ht="70.8" customHeight="1" x14ac:dyDescent="0.35">
      <c r="A9" s="16"/>
      <c r="B9" s="16"/>
      <c r="C9" s="37" t="s">
        <v>37</v>
      </c>
      <c r="D9" s="37"/>
      <c r="E9" s="37"/>
      <c r="F9" s="37"/>
      <c r="G9" s="37"/>
      <c r="H9" s="37"/>
      <c r="I9" s="37"/>
      <c r="J9" s="37"/>
      <c r="K9" s="37"/>
      <c r="L9" s="37"/>
      <c r="M9" s="37"/>
      <c r="N9" s="37"/>
      <c r="O9" s="37"/>
      <c r="P9" s="37"/>
      <c r="Q9" s="37"/>
      <c r="R9" s="37"/>
      <c r="S9" s="37"/>
    </row>
  </sheetData>
  <mergeCells count="2">
    <mergeCell ref="A1:AS1"/>
    <mergeCell ref="C9:S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3"/>
  <sheetViews>
    <sheetView workbookViewId="0">
      <selection sqref="A1:AO1"/>
    </sheetView>
  </sheetViews>
  <sheetFormatPr defaultRowHeight="14.4" x14ac:dyDescent="0.3"/>
  <cols>
    <col min="4" max="4" width="20.6640625" customWidth="1"/>
    <col min="5" max="5" width="15" customWidth="1"/>
  </cols>
  <sheetData>
    <row r="1" spans="1:41" ht="84" customHeight="1" x14ac:dyDescent="0.3">
      <c r="A1" s="8" t="s">
        <v>8</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row>
    <row r="3" spans="1:41" ht="17.399999999999999" x14ac:dyDescent="0.35">
      <c r="A3" s="43" t="s">
        <v>38</v>
      </c>
      <c r="B3" s="38"/>
      <c r="C3" s="38"/>
      <c r="D3" s="41"/>
      <c r="E3" s="41"/>
      <c r="F3" s="41"/>
      <c r="G3" s="41"/>
      <c r="H3" s="41"/>
      <c r="I3" s="41"/>
      <c r="J3" s="38"/>
      <c r="K3" s="16"/>
      <c r="L3" s="16"/>
      <c r="M3" s="16"/>
      <c r="N3" s="16"/>
      <c r="O3" s="16"/>
      <c r="P3" s="16"/>
      <c r="Q3" s="16"/>
      <c r="R3" s="16"/>
      <c r="S3" s="16"/>
      <c r="T3" s="16"/>
      <c r="U3" s="16"/>
      <c r="V3" s="16"/>
    </row>
    <row r="4" spans="1:41" ht="17.399999999999999" x14ac:dyDescent="0.35">
      <c r="A4" s="44">
        <v>15</v>
      </c>
      <c r="B4" s="38"/>
      <c r="C4" s="38"/>
      <c r="D4" s="41"/>
      <c r="E4" s="41"/>
      <c r="F4" s="41"/>
      <c r="G4" s="41"/>
      <c r="H4" s="41"/>
      <c r="I4" s="41"/>
      <c r="J4" s="38"/>
      <c r="K4" s="16"/>
      <c r="L4" s="16"/>
      <c r="M4" s="16"/>
      <c r="N4" s="16"/>
      <c r="O4" s="16"/>
      <c r="P4" s="16"/>
      <c r="Q4" s="16"/>
      <c r="R4" s="16"/>
      <c r="S4" s="16"/>
      <c r="T4" s="16"/>
      <c r="U4" s="16"/>
      <c r="V4" s="16"/>
    </row>
    <row r="5" spans="1:41" ht="17.399999999999999" x14ac:dyDescent="0.35">
      <c r="A5" s="44">
        <v>18</v>
      </c>
      <c r="B5" s="38"/>
      <c r="C5" s="38"/>
      <c r="D5" s="46" t="s">
        <v>10</v>
      </c>
      <c r="E5" s="41">
        <f>AVERAGE(A4:A11)</f>
        <v>19.625</v>
      </c>
      <c r="F5" s="41"/>
      <c r="G5" s="41"/>
      <c r="H5" s="41"/>
      <c r="I5" s="41"/>
      <c r="J5" s="38"/>
      <c r="K5" s="16"/>
      <c r="L5" s="16"/>
      <c r="M5" s="16"/>
      <c r="N5" s="16"/>
      <c r="O5" s="16"/>
      <c r="P5" s="16"/>
      <c r="Q5" s="16"/>
      <c r="R5" s="16"/>
      <c r="S5" s="16"/>
      <c r="T5" s="16"/>
      <c r="U5" s="16"/>
      <c r="V5" s="16"/>
    </row>
    <row r="6" spans="1:41" ht="17.399999999999999" x14ac:dyDescent="0.35">
      <c r="A6" s="44">
        <v>20</v>
      </c>
      <c r="B6" s="38"/>
      <c r="C6" s="38"/>
      <c r="D6" s="46" t="s">
        <v>11</v>
      </c>
      <c r="E6" s="41">
        <f>MEDIAN(A4:A11)</f>
        <v>19.5</v>
      </c>
      <c r="F6" s="41"/>
      <c r="G6" s="41"/>
      <c r="H6" s="41"/>
      <c r="I6" s="41"/>
      <c r="J6" s="38"/>
      <c r="K6" s="16"/>
      <c r="L6" s="16"/>
      <c r="M6" s="16"/>
      <c r="N6" s="16"/>
      <c r="O6" s="16"/>
      <c r="P6" s="16"/>
      <c r="Q6" s="16"/>
      <c r="R6" s="16"/>
      <c r="S6" s="16"/>
      <c r="T6" s="16"/>
      <c r="U6" s="16"/>
      <c r="V6" s="16"/>
    </row>
    <row r="7" spans="1:41" ht="17.399999999999999" x14ac:dyDescent="0.35">
      <c r="A7" s="44">
        <v>22</v>
      </c>
      <c r="B7" s="38"/>
      <c r="C7" s="38"/>
      <c r="D7" s="46" t="s">
        <v>12</v>
      </c>
      <c r="E7" s="41" t="str">
        <f>IFERROR(_xlfn.MODE.SNGL(A1:A8), "No Mode")</f>
        <v>No Mode</v>
      </c>
      <c r="F7" s="41"/>
      <c r="G7" s="41"/>
      <c r="H7" s="41"/>
      <c r="I7" s="41"/>
      <c r="J7" s="38"/>
      <c r="K7" s="16"/>
      <c r="L7" s="16"/>
      <c r="M7" s="16"/>
      <c r="N7" s="16"/>
      <c r="O7" s="16"/>
      <c r="P7" s="16"/>
      <c r="Q7" s="16"/>
      <c r="R7" s="16"/>
      <c r="S7" s="16"/>
      <c r="T7" s="16"/>
      <c r="U7" s="16"/>
      <c r="V7" s="16"/>
    </row>
    <row r="8" spans="1:41" ht="17.399999999999999" x14ac:dyDescent="0.35">
      <c r="A8" s="44">
        <v>25</v>
      </c>
      <c r="B8" s="38"/>
      <c r="C8" s="38"/>
      <c r="D8" s="46" t="s">
        <v>36</v>
      </c>
      <c r="E8" s="41">
        <f>_xlfn.STDEV.S(A4:A11)</f>
        <v>3.1139088893910452</v>
      </c>
      <c r="F8" s="41"/>
      <c r="G8" s="41"/>
      <c r="H8" s="41"/>
      <c r="I8" s="41"/>
      <c r="J8" s="38"/>
      <c r="K8" s="16"/>
      <c r="L8" s="16"/>
      <c r="M8" s="16"/>
      <c r="N8" s="16"/>
      <c r="O8" s="16"/>
      <c r="P8" s="16"/>
      <c r="Q8" s="16"/>
      <c r="R8" s="16"/>
      <c r="S8" s="16"/>
      <c r="T8" s="16"/>
      <c r="U8" s="16"/>
      <c r="V8" s="16"/>
    </row>
    <row r="9" spans="1:41" ht="17.399999999999999" x14ac:dyDescent="0.35">
      <c r="A9" s="44">
        <v>17</v>
      </c>
      <c r="B9" s="38"/>
      <c r="C9" s="38"/>
      <c r="D9" s="46" t="s">
        <v>39</v>
      </c>
      <c r="E9" s="41">
        <f>MAX(A4:A11)</f>
        <v>25</v>
      </c>
      <c r="F9" s="41"/>
      <c r="G9" s="41"/>
      <c r="H9" s="41"/>
      <c r="I9" s="41"/>
      <c r="J9" s="38"/>
      <c r="K9" s="16"/>
      <c r="L9" s="16"/>
      <c r="M9" s="16"/>
      <c r="N9" s="16"/>
      <c r="O9" s="16"/>
      <c r="P9" s="16"/>
      <c r="Q9" s="16"/>
      <c r="R9" s="16"/>
      <c r="S9" s="16"/>
      <c r="T9" s="16"/>
      <c r="U9" s="16"/>
      <c r="V9" s="16"/>
    </row>
    <row r="10" spans="1:41" ht="17.399999999999999" x14ac:dyDescent="0.35">
      <c r="A10" s="44">
        <v>19</v>
      </c>
      <c r="B10" s="38"/>
      <c r="C10" s="38"/>
      <c r="D10" s="46" t="s">
        <v>40</v>
      </c>
      <c r="E10" s="41">
        <f>MIN(A4:A11)</f>
        <v>15</v>
      </c>
      <c r="F10" s="41"/>
      <c r="G10" s="41"/>
      <c r="H10" s="41"/>
      <c r="I10" s="41"/>
      <c r="J10" s="38"/>
      <c r="K10" s="16"/>
      <c r="L10" s="16"/>
      <c r="M10" s="16"/>
      <c r="N10" s="16"/>
      <c r="O10" s="16"/>
      <c r="P10" s="16"/>
      <c r="Q10" s="16"/>
      <c r="R10" s="16"/>
      <c r="S10" s="16"/>
      <c r="T10" s="16"/>
      <c r="U10" s="16"/>
      <c r="V10" s="16"/>
    </row>
    <row r="11" spans="1:41" ht="17.399999999999999" x14ac:dyDescent="0.35">
      <c r="A11" s="44">
        <v>21</v>
      </c>
      <c r="B11" s="38"/>
      <c r="C11" s="38"/>
      <c r="D11" s="46" t="s">
        <v>22</v>
      </c>
      <c r="E11" s="41">
        <f>E9-E10</f>
        <v>10</v>
      </c>
      <c r="F11" s="41"/>
      <c r="G11" s="41"/>
      <c r="H11" s="41"/>
      <c r="I11" s="41"/>
      <c r="J11" s="38"/>
      <c r="K11" s="16"/>
      <c r="L11" s="16"/>
      <c r="M11" s="16"/>
      <c r="N11" s="16"/>
      <c r="O11" s="16"/>
      <c r="P11" s="16"/>
      <c r="Q11" s="16"/>
      <c r="R11" s="16"/>
      <c r="S11" s="16"/>
      <c r="T11" s="16"/>
      <c r="U11" s="16"/>
      <c r="V11" s="16"/>
    </row>
    <row r="12" spans="1:41" ht="17.399999999999999" x14ac:dyDescent="0.35">
      <c r="A12" s="38"/>
      <c r="B12" s="38"/>
      <c r="C12" s="38"/>
      <c r="D12" s="38"/>
      <c r="E12" s="38"/>
      <c r="F12" s="38"/>
      <c r="G12" s="38"/>
      <c r="H12" s="38"/>
      <c r="I12" s="38"/>
      <c r="J12" s="38"/>
      <c r="K12" s="16"/>
      <c r="L12" s="16"/>
      <c r="M12" s="16"/>
      <c r="N12" s="16"/>
      <c r="O12" s="16"/>
      <c r="P12" s="16"/>
      <c r="Q12" s="16"/>
      <c r="R12" s="16"/>
      <c r="S12" s="16"/>
      <c r="T12" s="16"/>
      <c r="U12" s="16"/>
      <c r="V12" s="16"/>
    </row>
    <row r="13" spans="1:41" ht="185.4" customHeight="1" x14ac:dyDescent="0.35">
      <c r="A13" s="16"/>
      <c r="B13" s="16"/>
      <c r="C13" s="16"/>
      <c r="D13" s="37" t="s">
        <v>41</v>
      </c>
      <c r="E13" s="37"/>
      <c r="F13" s="37"/>
      <c r="G13" s="37"/>
      <c r="H13" s="37"/>
      <c r="I13" s="37"/>
      <c r="J13" s="37"/>
      <c r="K13" s="37"/>
      <c r="L13" s="37"/>
      <c r="M13" s="37"/>
      <c r="N13" s="37"/>
      <c r="O13" s="37"/>
      <c r="P13" s="37"/>
      <c r="Q13" s="37"/>
      <c r="R13" s="37"/>
      <c r="S13" s="37"/>
      <c r="T13" s="37"/>
      <c r="U13" s="37"/>
      <c r="V13" s="37"/>
    </row>
  </sheetData>
  <mergeCells count="2">
    <mergeCell ref="A1:AO1"/>
    <mergeCell ref="D13:V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2025-12-28T13:56:30Z</dcterms:created>
  <dcterms:modified xsi:type="dcterms:W3CDTF">2025-12-28T16:15:13Z</dcterms:modified>
</cp:coreProperties>
</file>