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44525"/>
</workbook>
</file>

<file path=xl/calcChain.xml><?xml version="1.0" encoding="utf-8"?>
<calcChain xmlns="http://schemas.openxmlformats.org/spreadsheetml/2006/main">
  <c r="C3" i="3" l="1"/>
  <c r="C5" i="3"/>
  <c r="C4" i="3"/>
  <c r="C6" i="3"/>
  <c r="C7" i="3"/>
  <c r="C4" i="1"/>
  <c r="C5" i="1"/>
  <c r="C6" i="1"/>
  <c r="C7" i="1"/>
  <c r="C3" i="1"/>
  <c r="F4" i="7"/>
  <c r="D5" i="6" l="1"/>
  <c r="D6" i="6"/>
  <c r="D4" i="6"/>
  <c r="E4" i="5"/>
  <c r="F5" i="4"/>
  <c r="F4" i="2"/>
  <c r="F5" i="2"/>
  <c r="F6" i="2"/>
  <c r="F3" i="2"/>
</calcChain>
</file>

<file path=xl/sharedStrings.xml><?xml version="1.0" encoding="utf-8"?>
<sst xmlns="http://schemas.openxmlformats.org/spreadsheetml/2006/main" count="77" uniqueCount="56">
  <si>
    <t>Q1. Write a formula to check if the marks are greater than or equal to 40. If yes return 'Pass' otherwise 'Fail'.</t>
  </si>
  <si>
    <t>Student Name</t>
  </si>
  <si>
    <t>Marks</t>
  </si>
  <si>
    <t>Riya</t>
  </si>
  <si>
    <t>Rahul</t>
  </si>
  <si>
    <t>Siya</t>
  </si>
  <si>
    <t>Ram</t>
  </si>
  <si>
    <t>Raju</t>
  </si>
  <si>
    <t>Employee</t>
  </si>
  <si>
    <t>Sales</t>
  </si>
  <si>
    <t>Attendance %</t>
  </si>
  <si>
    <t>Arjun</t>
  </si>
  <si>
    <t>Anjali</t>
  </si>
  <si>
    <t>Simran</t>
  </si>
  <si>
    <t>Rohit</t>
  </si>
  <si>
    <t>Raj</t>
  </si>
  <si>
    <t>Rani</t>
  </si>
  <si>
    <t>Neha</t>
  </si>
  <si>
    <t>Sneha</t>
  </si>
  <si>
    <t>Vivek</t>
  </si>
  <si>
    <t>EmpID</t>
  </si>
  <si>
    <t>Department</t>
  </si>
  <si>
    <t>Name</t>
  </si>
  <si>
    <t>E101</t>
  </si>
  <si>
    <t>IT</t>
  </si>
  <si>
    <t>E103</t>
  </si>
  <si>
    <t>E104</t>
  </si>
  <si>
    <t>Sejal</t>
  </si>
  <si>
    <t>E102</t>
  </si>
  <si>
    <t>HR</t>
  </si>
  <si>
    <t>Finance</t>
  </si>
  <si>
    <t>Roshni</t>
  </si>
  <si>
    <t>Sales Amount</t>
  </si>
  <si>
    <t>Commission Rate</t>
  </si>
  <si>
    <t>5%</t>
  </si>
  <si>
    <t>10%</t>
  </si>
  <si>
    <t>15%</t>
  </si>
  <si>
    <t>20%</t>
  </si>
  <si>
    <t>Leaves Taken</t>
  </si>
  <si>
    <t>Alex</t>
  </si>
  <si>
    <t>Bob</t>
  </si>
  <si>
    <t>Anna</t>
  </si>
  <si>
    <t>Salary</t>
  </si>
  <si>
    <t>E105</t>
  </si>
  <si>
    <t>E106</t>
  </si>
  <si>
    <t>E303</t>
  </si>
  <si>
    <t>E301</t>
  </si>
  <si>
    <t>Q5. A company has set the following commission structure for its sales team:
If a salesperson achieves sales of ₹45,000, use the VLOOKUP function to determine the commission rate
applicable.</t>
  </si>
  <si>
    <t>Q7.Find the salary of EmpID = E105 using INDEX-MATCH Function.</t>
  </si>
  <si>
    <t>Q8. Use the XLOOKUP function to find the Department of the employee with Emp ID = E303.</t>
  </si>
  <si>
    <t>Q2. A  company gives a bonus  if sales are above 40,000 and attendance is greater than or equal to 90%. Write a
formula to calculate whether the employee will get a bonus or not .</t>
  </si>
  <si>
    <t>Q3. Write a nested IF formula: If marks in B2 ≥90 = A, ≥75 = B, ≥50 = C, otherwise Fail.</t>
  </si>
  <si>
    <t>Q4. Find the Department of Employee ID = E103 Also explain which LOOKUP function is used and why?</t>
  </si>
  <si>
    <t xml:space="preserve"> Leaves Allowed</t>
  </si>
  <si>
    <t>Q6. The HR department maintains the following leave records of employees:onus or not .
Write an IF function to check whether an employee has Exceeded their allowed leave balance.
If Leaves Taken &gt; Allowed Leaves, display "Exceeded".Otherwise, display "OK".</t>
  </si>
  <si>
    <t>Formula used : =XLOOKUP(E303,A3:A6,B3:B6)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</si>
</sst>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sz val="14"/>
      <color rgb="FF9C6500"/>
      <name val="Calibri"/>
      <family val="2"/>
      <scheme val="minor"/>
    </font>
    <font>
      <b/>
      <sz val="14"/>
      <color rgb="FF9C6500"/>
      <name val="Calibri"/>
      <family val="2"/>
      <scheme val="minor"/>
    </font>
    <font>
      <b/>
      <sz val="14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" applyNumberFormat="0" applyAlignment="0" applyProtection="0"/>
  </cellStyleXfs>
  <cellXfs count="36"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2" borderId="0" xfId="1" applyAlignment="1">
      <alignment horizontal="center"/>
    </xf>
    <xf numFmtId="0" fontId="8" fillId="3" borderId="0" xfId="2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1" fillId="5" borderId="1" xfId="4" applyFont="1" applyAlignment="1">
      <alignment horizontal="left" vertical="top" wrapText="1"/>
    </xf>
    <xf numFmtId="0" fontId="11" fillId="5" borderId="1" xfId="4" applyFont="1" applyAlignment="1">
      <alignment horizontal="left" vertical="top"/>
    </xf>
    <xf numFmtId="0" fontId="11" fillId="5" borderId="1" xfId="4" applyFont="1" applyAlignment="1">
      <alignment vertical="center" wrapText="1"/>
    </xf>
    <xf numFmtId="0" fontId="11" fillId="5" borderId="1" xfId="4" applyFont="1"/>
    <xf numFmtId="0" fontId="11" fillId="5" borderId="1" xfId="4" applyFont="1"/>
    <xf numFmtId="0" fontId="11" fillId="5" borderId="1" xfId="4" applyFont="1" applyAlignment="1">
      <alignment horizontal="center" vertical="center" wrapText="1"/>
    </xf>
    <xf numFmtId="0" fontId="11" fillId="5" borderId="1" xfId="4" applyFont="1" applyAlignment="1">
      <alignment horizontal="center"/>
    </xf>
    <xf numFmtId="0" fontId="12" fillId="2" borderId="0" xfId="1" applyFont="1" applyAlignment="1">
      <alignment horizontal="center" vertical="top"/>
    </xf>
    <xf numFmtId="0" fontId="13" fillId="4" borderId="0" xfId="3" applyFont="1" applyAlignment="1">
      <alignment horizontal="center" vertical="top"/>
    </xf>
    <xf numFmtId="0" fontId="13" fillId="4" borderId="0" xfId="3" applyFont="1" applyAlignment="1">
      <alignment horizontal="center"/>
    </xf>
    <xf numFmtId="0" fontId="14" fillId="4" borderId="0" xfId="3" applyFont="1" applyAlignment="1">
      <alignment horizontal="center" vertical="top"/>
    </xf>
    <xf numFmtId="0" fontId="15" fillId="3" borderId="0" xfId="2" applyFont="1" applyAlignment="1">
      <alignment horizontal="center" vertical="top"/>
    </xf>
    <xf numFmtId="0" fontId="12" fillId="2" borderId="0" xfId="1" applyFont="1"/>
    <xf numFmtId="0" fontId="11" fillId="5" borderId="1" xfId="4" applyFont="1" applyAlignment="1">
      <alignment horizontal="center" vertical="top"/>
    </xf>
    <xf numFmtId="0" fontId="15" fillId="3" borderId="0" xfId="2" applyFont="1"/>
    <xf numFmtId="0" fontId="14" fillId="4" borderId="0" xfId="3" applyFont="1" applyAlignment="1">
      <alignment horizontal="center"/>
    </xf>
    <xf numFmtId="0" fontId="15" fillId="3" borderId="0" xfId="2" applyFont="1" applyAlignment="1">
      <alignment horizontal="center"/>
    </xf>
    <xf numFmtId="0" fontId="1" fillId="0" borderId="0" xfId="0" applyFont="1"/>
    <xf numFmtId="0" fontId="12" fillId="2" borderId="0" xfId="1" applyFont="1" applyAlignment="1">
      <alignment horizontal="center"/>
    </xf>
    <xf numFmtId="0" fontId="11" fillId="5" borderId="1" xfId="4" applyFont="1" applyAlignment="1">
      <alignment horizontal="center"/>
    </xf>
    <xf numFmtId="0" fontId="1" fillId="2" borderId="0" xfId="1" applyFont="1" applyAlignment="1">
      <alignment horizontal="center"/>
    </xf>
    <xf numFmtId="0" fontId="14" fillId="4" borderId="0" xfId="3" applyFont="1"/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"/>
    </sheetView>
  </sheetViews>
  <sheetFormatPr defaultRowHeight="14.4" x14ac:dyDescent="0.3"/>
  <cols>
    <col min="1" max="1" width="23" customWidth="1"/>
    <col min="2" max="2" width="24.44140625" customWidth="1"/>
    <col min="3" max="3" width="16.21875" customWidth="1"/>
    <col min="6" max="6" width="61.44140625" customWidth="1"/>
  </cols>
  <sheetData>
    <row r="1" spans="1:6" ht="22.2" customHeight="1" x14ac:dyDescent="0.3">
      <c r="A1" s="14" t="s">
        <v>0</v>
      </c>
      <c r="B1" s="15"/>
      <c r="C1" s="15"/>
      <c r="D1" s="15"/>
      <c r="E1" s="15"/>
      <c r="F1" s="15"/>
    </row>
    <row r="2" spans="1:6" ht="18" x14ac:dyDescent="0.3">
      <c r="A2" s="21" t="s">
        <v>1</v>
      </c>
      <c r="B2" s="21" t="s">
        <v>2</v>
      </c>
    </row>
    <row r="3" spans="1:6" ht="18" x14ac:dyDescent="0.35">
      <c r="A3" s="22" t="s">
        <v>3</v>
      </c>
      <c r="B3" s="23">
        <v>45</v>
      </c>
      <c r="C3" s="18" t="str">
        <f>IF(B3&gt;=40,"PASS","FAIL")</f>
        <v>PASS</v>
      </c>
    </row>
    <row r="4" spans="1:6" ht="18" x14ac:dyDescent="0.35">
      <c r="A4" s="22" t="s">
        <v>4</v>
      </c>
      <c r="B4" s="23">
        <v>80</v>
      </c>
      <c r="C4" s="18" t="str">
        <f t="shared" ref="C4:C7" si="0">IF(B4&gt;=40,"PASS","FAIL")</f>
        <v>PASS</v>
      </c>
    </row>
    <row r="5" spans="1:6" ht="18" x14ac:dyDescent="0.35">
      <c r="A5" s="22" t="s">
        <v>5</v>
      </c>
      <c r="B5" s="23">
        <v>72</v>
      </c>
      <c r="C5" s="18" t="str">
        <f t="shared" si="0"/>
        <v>PASS</v>
      </c>
    </row>
    <row r="6" spans="1:6" ht="18" x14ac:dyDescent="0.35">
      <c r="A6" s="22" t="s">
        <v>6</v>
      </c>
      <c r="B6" s="23">
        <v>30</v>
      </c>
      <c r="C6" s="18" t="str">
        <f t="shared" si="0"/>
        <v>FAIL</v>
      </c>
    </row>
    <row r="7" spans="1:6" ht="18" x14ac:dyDescent="0.35">
      <c r="A7" s="22" t="s">
        <v>7</v>
      </c>
      <c r="B7" s="23">
        <v>55</v>
      </c>
      <c r="C7" s="18" t="str">
        <f t="shared" si="0"/>
        <v>PASS</v>
      </c>
    </row>
    <row r="8" spans="1:6" ht="18" x14ac:dyDescent="0.35">
      <c r="A8" s="3"/>
      <c r="B8" s="3"/>
    </row>
    <row r="9" spans="1:6" ht="18" x14ac:dyDescent="0.35">
      <c r="A9" s="3"/>
      <c r="B9" s="3"/>
    </row>
    <row r="10" spans="1:6" ht="18" x14ac:dyDescent="0.35">
      <c r="A10" s="3"/>
      <c r="B10" s="3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F1"/>
    </sheetView>
  </sheetViews>
  <sheetFormatPr defaultRowHeight="14.4" x14ac:dyDescent="0.3"/>
  <cols>
    <col min="1" max="1" width="16.5546875" customWidth="1"/>
    <col min="2" max="2" width="21" customWidth="1"/>
    <col min="3" max="3" width="23.21875" customWidth="1"/>
    <col min="4" max="4" width="14.88671875" customWidth="1"/>
    <col min="6" max="6" width="37" customWidth="1"/>
  </cols>
  <sheetData>
    <row r="1" spans="1:6" s="18" customFormat="1" ht="50.4" customHeight="1" x14ac:dyDescent="0.35">
      <c r="A1" s="16" t="s">
        <v>50</v>
      </c>
      <c r="B1" s="17"/>
      <c r="C1" s="17"/>
      <c r="D1" s="17"/>
      <c r="E1" s="17"/>
      <c r="F1" s="17"/>
    </row>
    <row r="2" spans="1:6" ht="18" x14ac:dyDescent="0.3">
      <c r="A2" s="24" t="s">
        <v>8</v>
      </c>
      <c r="B2" s="24" t="s">
        <v>9</v>
      </c>
      <c r="C2" s="24" t="s">
        <v>10</v>
      </c>
    </row>
    <row r="3" spans="1:6" ht="18" x14ac:dyDescent="0.35">
      <c r="A3" s="25" t="s">
        <v>11</v>
      </c>
      <c r="B3" s="25">
        <v>95500</v>
      </c>
      <c r="C3" s="21">
        <v>90</v>
      </c>
      <c r="D3" s="26"/>
      <c r="E3" s="26"/>
      <c r="F3" s="26" t="str">
        <f>IF(AND(B3&gt;40000,C3&gt;=90),"YES","NO")</f>
        <v>YES</v>
      </c>
    </row>
    <row r="4" spans="1:6" ht="18" x14ac:dyDescent="0.35">
      <c r="A4" s="25" t="s">
        <v>12</v>
      </c>
      <c r="B4" s="25">
        <v>65250</v>
      </c>
      <c r="C4" s="21">
        <v>85</v>
      </c>
      <c r="D4" s="26"/>
      <c r="E4" s="26"/>
      <c r="F4" s="26" t="str">
        <f t="shared" ref="F4:F6" si="0">IF(AND(B4&gt;40000,C4&gt;=90),"YES","NO")</f>
        <v>NO</v>
      </c>
    </row>
    <row r="5" spans="1:6" ht="18" x14ac:dyDescent="0.35">
      <c r="A5" s="25" t="s">
        <v>13</v>
      </c>
      <c r="B5" s="25">
        <v>85650</v>
      </c>
      <c r="C5" s="21">
        <v>92</v>
      </c>
      <c r="D5" s="26"/>
      <c r="E5" s="26"/>
      <c r="F5" s="26" t="str">
        <f t="shared" si="0"/>
        <v>YES</v>
      </c>
    </row>
    <row r="6" spans="1:6" ht="18" x14ac:dyDescent="0.35">
      <c r="A6" s="25" t="s">
        <v>14</v>
      </c>
      <c r="B6" s="25">
        <v>90300</v>
      </c>
      <c r="C6" s="21">
        <v>88</v>
      </c>
      <c r="D6" s="26"/>
      <c r="E6" s="26"/>
      <c r="F6" s="26" t="str">
        <f t="shared" si="0"/>
        <v>NO</v>
      </c>
    </row>
    <row r="7" spans="1:6" x14ac:dyDescent="0.3">
      <c r="A7" s="2"/>
      <c r="B7" s="2"/>
      <c r="C7" s="2"/>
      <c r="D7" s="2"/>
      <c r="E7" s="2"/>
      <c r="F7" s="2"/>
    </row>
    <row r="15" spans="1:6" x14ac:dyDescent="0.3">
      <c r="F15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1"/>
    </sheetView>
  </sheetViews>
  <sheetFormatPr defaultRowHeight="14.4" x14ac:dyDescent="0.3"/>
  <cols>
    <col min="1" max="1" width="22.109375" customWidth="1"/>
    <col min="2" max="2" width="21.109375" customWidth="1"/>
    <col min="3" max="3" width="32.21875" customWidth="1"/>
    <col min="6" max="6" width="22.33203125" customWidth="1"/>
  </cols>
  <sheetData>
    <row r="1" spans="1:6" s="18" customFormat="1" ht="18" x14ac:dyDescent="0.35">
      <c r="A1" s="16" t="s">
        <v>51</v>
      </c>
      <c r="B1" s="17"/>
      <c r="C1" s="17"/>
      <c r="D1" s="17"/>
      <c r="E1" s="17"/>
      <c r="F1" s="17"/>
    </row>
    <row r="2" spans="1:6" ht="18" x14ac:dyDescent="0.35">
      <c r="A2" s="24" t="s">
        <v>1</v>
      </c>
      <c r="B2" s="24" t="s">
        <v>2</v>
      </c>
      <c r="C2" s="35"/>
    </row>
    <row r="3" spans="1:6" ht="18" x14ac:dyDescent="0.35">
      <c r="A3" s="27" t="s">
        <v>15</v>
      </c>
      <c r="B3" s="27">
        <v>85</v>
      </c>
      <c r="C3" s="28" t="str">
        <f>IF(B3&gt;=90,"A",IF(B3&gt;=75,"B",IF(B3&gt;=50,"C","Fail")))</f>
        <v>B</v>
      </c>
    </row>
    <row r="4" spans="1:6" ht="18" x14ac:dyDescent="0.35">
      <c r="A4" s="27" t="s">
        <v>16</v>
      </c>
      <c r="B4" s="27">
        <v>92</v>
      </c>
      <c r="C4" s="28" t="str">
        <f>IF(B4&gt;=90,"A",IF(B4&gt;=75,"B",IF(B4&gt;=50,"C","Fail")))</f>
        <v>A</v>
      </c>
    </row>
    <row r="5" spans="1:6" ht="18" x14ac:dyDescent="0.35">
      <c r="A5" s="27" t="s">
        <v>17</v>
      </c>
      <c r="B5" s="27">
        <v>96</v>
      </c>
      <c r="C5" s="28" t="str">
        <f>IF(B5&gt;=90,"A",IF(B5&gt;=75,"B",IF(B5&gt;=50,"C","Fail")))</f>
        <v>A</v>
      </c>
    </row>
    <row r="6" spans="1:6" ht="18" x14ac:dyDescent="0.35">
      <c r="A6" s="27" t="s">
        <v>18</v>
      </c>
      <c r="B6" s="27">
        <v>75</v>
      </c>
      <c r="C6" s="28" t="str">
        <f t="shared" ref="C5:C7" si="0">IF(B6&gt;=90,"A",IF(B6&gt;=75,"B",IF(B6&gt;=50,"C","Fail")))</f>
        <v>B</v>
      </c>
    </row>
    <row r="7" spans="1:6" ht="18" x14ac:dyDescent="0.35">
      <c r="A7" s="27" t="s">
        <v>19</v>
      </c>
      <c r="B7" s="27">
        <v>57</v>
      </c>
      <c r="C7" s="28" t="str">
        <f t="shared" si="0"/>
        <v>C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4.4" x14ac:dyDescent="0.3"/>
  <cols>
    <col min="2" max="2" width="21.44140625" customWidth="1"/>
    <col min="3" max="3" width="20.77734375" customWidth="1"/>
    <col min="4" max="4" width="17.21875" customWidth="1"/>
    <col min="5" max="5" width="18.44140625" customWidth="1"/>
    <col min="6" max="6" width="54.5546875" customWidth="1"/>
  </cols>
  <sheetData>
    <row r="1" spans="1:6" s="18" customFormat="1" ht="18" x14ac:dyDescent="0.35">
      <c r="A1" s="16" t="s">
        <v>52</v>
      </c>
      <c r="B1" s="17"/>
      <c r="C1" s="17"/>
      <c r="D1" s="17"/>
      <c r="E1" s="17"/>
      <c r="F1" s="17"/>
    </row>
    <row r="2" spans="1:6" s="1" customFormat="1" ht="18" x14ac:dyDescent="0.35">
      <c r="A2" s="5"/>
      <c r="B2" s="3"/>
      <c r="C2" s="3"/>
      <c r="D2" s="3"/>
      <c r="E2" s="3"/>
      <c r="F2" s="3"/>
    </row>
    <row r="3" spans="1:6" ht="18" x14ac:dyDescent="0.35">
      <c r="A3" s="29" t="s">
        <v>20</v>
      </c>
      <c r="B3" s="29" t="s">
        <v>22</v>
      </c>
      <c r="C3" s="29" t="s">
        <v>21</v>
      </c>
    </row>
    <row r="4" spans="1:6" ht="18" x14ac:dyDescent="0.35">
      <c r="A4" s="30" t="s">
        <v>23</v>
      </c>
      <c r="B4" s="30" t="s">
        <v>7</v>
      </c>
      <c r="C4" s="32" t="s">
        <v>24</v>
      </c>
    </row>
    <row r="5" spans="1:6" ht="18" x14ac:dyDescent="0.35">
      <c r="A5" s="30" t="s">
        <v>26</v>
      </c>
      <c r="B5" s="30" t="s">
        <v>27</v>
      </c>
      <c r="C5" s="32" t="s">
        <v>9</v>
      </c>
      <c r="E5" s="30" t="s">
        <v>25</v>
      </c>
      <c r="F5" s="28" t="str">
        <f>VLOOKUP("E103",A4:C7,3,FALSE)</f>
        <v>Finance</v>
      </c>
    </row>
    <row r="6" spans="1:6" ht="18" x14ac:dyDescent="0.35">
      <c r="A6" s="30" t="s">
        <v>28</v>
      </c>
      <c r="B6" s="30" t="s">
        <v>3</v>
      </c>
      <c r="C6" s="32" t="s">
        <v>29</v>
      </c>
    </row>
    <row r="7" spans="1:6" ht="18" x14ac:dyDescent="0.35">
      <c r="A7" s="30" t="s">
        <v>25</v>
      </c>
      <c r="B7" s="30" t="s">
        <v>31</v>
      </c>
      <c r="C7" s="32" t="s">
        <v>30</v>
      </c>
    </row>
    <row r="8" spans="1:6" ht="18" x14ac:dyDescent="0.35">
      <c r="A8" s="31"/>
      <c r="B8" s="31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1"/>
    </sheetView>
  </sheetViews>
  <sheetFormatPr defaultRowHeight="14.4" x14ac:dyDescent="0.3"/>
  <cols>
    <col min="1" max="1" width="26.21875" customWidth="1"/>
    <col min="2" max="2" width="18.6640625" customWidth="1"/>
    <col min="3" max="3" width="21" customWidth="1"/>
    <col min="4" max="4" width="16.6640625" customWidth="1"/>
    <col min="5" max="5" width="21.33203125" customWidth="1"/>
    <col min="6" max="6" width="62.21875" customWidth="1"/>
  </cols>
  <sheetData>
    <row r="1" spans="1:6" s="18" customFormat="1" ht="78" customHeight="1" x14ac:dyDescent="0.35">
      <c r="A1" s="16" t="s">
        <v>47</v>
      </c>
      <c r="B1" s="17"/>
      <c r="C1" s="17"/>
      <c r="D1" s="17"/>
      <c r="E1" s="17"/>
      <c r="F1" s="17"/>
    </row>
    <row r="2" spans="1:6" ht="18" x14ac:dyDescent="0.35">
      <c r="A2" s="29" t="s">
        <v>32</v>
      </c>
      <c r="B2" s="29" t="s">
        <v>33</v>
      </c>
    </row>
    <row r="3" spans="1:6" ht="18" x14ac:dyDescent="0.35">
      <c r="A3" s="33">
        <v>0</v>
      </c>
      <c r="B3" s="33" t="s">
        <v>34</v>
      </c>
      <c r="D3" s="26"/>
      <c r="E3" s="26"/>
    </row>
    <row r="4" spans="1:6" ht="18" x14ac:dyDescent="0.35">
      <c r="A4" s="33">
        <v>20000</v>
      </c>
      <c r="B4" s="33" t="s">
        <v>35</v>
      </c>
      <c r="D4" s="32">
        <v>45000</v>
      </c>
      <c r="E4" s="32" t="str">
        <f>VLOOKUP(D4,A3:B6,2,TRUE)</f>
        <v>10%</v>
      </c>
    </row>
    <row r="5" spans="1:6" ht="18" x14ac:dyDescent="0.35">
      <c r="A5" s="33">
        <v>50000</v>
      </c>
      <c r="B5" s="33" t="s">
        <v>36</v>
      </c>
    </row>
    <row r="6" spans="1:6" ht="18" x14ac:dyDescent="0.35">
      <c r="A6" s="33">
        <v>80000</v>
      </c>
      <c r="B6" s="33" t="s">
        <v>37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7" sqref="F7"/>
    </sheetView>
  </sheetViews>
  <sheetFormatPr defaultRowHeight="14.4" x14ac:dyDescent="0.3"/>
  <cols>
    <col min="1" max="1" width="21.21875" customWidth="1"/>
    <col min="2" max="2" width="23.6640625" customWidth="1"/>
    <col min="3" max="3" width="20.33203125" customWidth="1"/>
    <col min="4" max="4" width="23.77734375" customWidth="1"/>
    <col min="6" max="6" width="43.33203125" customWidth="1"/>
  </cols>
  <sheetData>
    <row r="1" spans="1:6" s="18" customFormat="1" ht="60.6" customHeight="1" x14ac:dyDescent="0.35">
      <c r="A1" s="14" t="s">
        <v>54</v>
      </c>
      <c r="B1" s="15"/>
      <c r="C1" s="15"/>
      <c r="D1" s="15"/>
      <c r="E1" s="15"/>
      <c r="F1" s="15"/>
    </row>
    <row r="2" spans="1:6" s="1" customFormat="1" ht="15" customHeight="1" x14ac:dyDescent="0.3">
      <c r="A2" s="7"/>
      <c r="B2" s="8"/>
      <c r="C2" s="8"/>
      <c r="D2" s="8"/>
      <c r="E2" s="8"/>
      <c r="F2" s="8"/>
    </row>
    <row r="3" spans="1:6" ht="18" x14ac:dyDescent="0.35">
      <c r="A3" s="29" t="s">
        <v>8</v>
      </c>
      <c r="B3" s="29" t="s">
        <v>38</v>
      </c>
      <c r="C3" s="29" t="s">
        <v>53</v>
      </c>
    </row>
    <row r="4" spans="1:6" ht="18" x14ac:dyDescent="0.35">
      <c r="A4" s="32" t="s">
        <v>39</v>
      </c>
      <c r="B4" s="32">
        <v>10</v>
      </c>
      <c r="C4" s="32">
        <v>12</v>
      </c>
      <c r="D4" s="28" t="str">
        <f>IF(B4&gt;C4,"Exceeded","OK")</f>
        <v>OK</v>
      </c>
    </row>
    <row r="5" spans="1:6" ht="18" x14ac:dyDescent="0.35">
      <c r="A5" s="32" t="s">
        <v>40</v>
      </c>
      <c r="B5" s="32">
        <v>15</v>
      </c>
      <c r="C5" s="32">
        <v>10</v>
      </c>
      <c r="D5" s="28" t="str">
        <f t="shared" ref="D5:D6" si="0">IF(B5&gt;C5,"Exceeded","OK")</f>
        <v>Exceeded</v>
      </c>
    </row>
    <row r="6" spans="1:6" ht="18" x14ac:dyDescent="0.35">
      <c r="A6" s="32" t="s">
        <v>41</v>
      </c>
      <c r="B6" s="32">
        <v>8</v>
      </c>
      <c r="C6" s="32">
        <v>12</v>
      </c>
      <c r="D6" s="28" t="str">
        <f t="shared" si="0"/>
        <v>OK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1"/>
    </sheetView>
  </sheetViews>
  <sheetFormatPr defaultRowHeight="14.4" x14ac:dyDescent="0.3"/>
  <cols>
    <col min="1" max="1" width="13" customWidth="1"/>
    <col min="6" max="6" width="23.88671875" customWidth="1"/>
  </cols>
  <sheetData>
    <row r="1" spans="1:6" s="18" customFormat="1" ht="18" x14ac:dyDescent="0.35">
      <c r="A1" s="19" t="s">
        <v>48</v>
      </c>
      <c r="B1" s="20"/>
      <c r="C1" s="20"/>
      <c r="D1" s="20"/>
      <c r="E1" s="20"/>
      <c r="F1" s="20"/>
    </row>
    <row r="2" spans="1:6" ht="18" x14ac:dyDescent="0.35">
      <c r="A2" s="34" t="s">
        <v>20</v>
      </c>
      <c r="B2" s="34" t="s">
        <v>42</v>
      </c>
      <c r="C2" s="34"/>
      <c r="D2" s="34"/>
      <c r="E2" s="34"/>
      <c r="F2" s="34"/>
    </row>
    <row r="3" spans="1:6" ht="18" x14ac:dyDescent="0.35">
      <c r="A3" s="34" t="s">
        <v>26</v>
      </c>
      <c r="B3" s="34">
        <v>55000</v>
      </c>
      <c r="C3" s="34"/>
      <c r="D3" s="34"/>
      <c r="E3" s="34"/>
      <c r="F3" s="34"/>
    </row>
    <row r="4" spans="1:6" ht="18" x14ac:dyDescent="0.35">
      <c r="A4" s="34" t="s">
        <v>28</v>
      </c>
      <c r="B4" s="34">
        <v>41000</v>
      </c>
      <c r="C4" s="34"/>
      <c r="D4" s="34"/>
      <c r="E4" s="34" t="s">
        <v>43</v>
      </c>
      <c r="F4" s="34">
        <f>INDEX(B3:B6,MATCH("E105",A3:A6,0))</f>
        <v>72000</v>
      </c>
    </row>
    <row r="5" spans="1:6" ht="18" x14ac:dyDescent="0.35">
      <c r="A5" s="34" t="s">
        <v>43</v>
      </c>
      <c r="B5" s="34">
        <v>72000</v>
      </c>
      <c r="C5" s="34"/>
      <c r="D5" s="34"/>
      <c r="E5" s="34"/>
      <c r="F5" s="34"/>
    </row>
    <row r="6" spans="1:6" ht="18" x14ac:dyDescent="0.35">
      <c r="A6" s="34" t="s">
        <v>44</v>
      </c>
      <c r="B6" s="34">
        <v>62000</v>
      </c>
      <c r="C6" s="34"/>
      <c r="D6" s="34"/>
      <c r="E6" s="34"/>
      <c r="F6" s="34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XFD1"/>
    </sheetView>
  </sheetViews>
  <sheetFormatPr defaultRowHeight="14.4" x14ac:dyDescent="0.3"/>
  <cols>
    <col min="2" max="2" width="18.88671875" customWidth="1"/>
    <col min="5" max="5" width="17.109375" customWidth="1"/>
    <col min="6" max="6" width="54.88671875" customWidth="1"/>
  </cols>
  <sheetData>
    <row r="1" spans="1:6" s="18" customFormat="1" ht="18" x14ac:dyDescent="0.35">
      <c r="A1" s="16" t="s">
        <v>49</v>
      </c>
      <c r="B1" s="17"/>
      <c r="C1" s="17"/>
      <c r="D1" s="17"/>
      <c r="E1" s="17"/>
      <c r="F1" s="17"/>
    </row>
    <row r="2" spans="1:6" s="2" customFormat="1" ht="18" x14ac:dyDescent="0.35">
      <c r="A2" s="5"/>
      <c r="B2" s="4"/>
      <c r="C2" s="4"/>
      <c r="D2" s="4"/>
      <c r="E2" s="4"/>
      <c r="F2" s="4"/>
    </row>
    <row r="3" spans="1:6" ht="15.6" x14ac:dyDescent="0.3">
      <c r="A3" s="12" t="s">
        <v>20</v>
      </c>
      <c r="B3" s="13" t="s">
        <v>21</v>
      </c>
      <c r="C3" s="6"/>
      <c r="D3" s="6"/>
      <c r="E3" s="6"/>
      <c r="F3" s="6"/>
    </row>
    <row r="4" spans="1:6" ht="15.6" x14ac:dyDescent="0.3">
      <c r="A4" s="12" t="s">
        <v>23</v>
      </c>
      <c r="B4" s="13" t="s">
        <v>29</v>
      </c>
      <c r="C4" s="6"/>
      <c r="D4" s="6"/>
      <c r="E4" s="6"/>
      <c r="F4" s="6"/>
    </row>
    <row r="5" spans="1:6" ht="15.6" x14ac:dyDescent="0.3">
      <c r="A5" s="12" t="s">
        <v>46</v>
      </c>
      <c r="B5" s="13" t="s">
        <v>30</v>
      </c>
      <c r="C5" s="6"/>
      <c r="D5" s="6"/>
      <c r="E5" s="9" t="s">
        <v>45</v>
      </c>
      <c r="F5" s="10" t="s">
        <v>24</v>
      </c>
    </row>
    <row r="6" spans="1:6" ht="15.6" x14ac:dyDescent="0.3">
      <c r="A6" s="12" t="s">
        <v>45</v>
      </c>
      <c r="B6" s="13" t="s">
        <v>24</v>
      </c>
      <c r="C6" s="6"/>
      <c r="D6" s="6"/>
      <c r="E6" s="6"/>
      <c r="F6" s="11" t="s">
        <v>55</v>
      </c>
    </row>
    <row r="7" spans="1:6" ht="15.6" x14ac:dyDescent="0.3">
      <c r="A7" s="12" t="s">
        <v>44</v>
      </c>
      <c r="B7" s="13" t="s">
        <v>9</v>
      </c>
      <c r="C7" s="6"/>
      <c r="D7" s="6"/>
      <c r="E7" s="6"/>
      <c r="F7" s="6"/>
    </row>
    <row r="8" spans="1:6" ht="15.6" x14ac:dyDescent="0.3">
      <c r="A8" s="6"/>
      <c r="B8" s="6"/>
      <c r="C8" s="6"/>
      <c r="D8" s="6"/>
      <c r="E8" s="6"/>
      <c r="F8" s="6"/>
    </row>
    <row r="9" spans="1:6" ht="15.6" x14ac:dyDescent="0.3">
      <c r="A9" s="6"/>
      <c r="B9" s="6"/>
      <c r="C9" s="6"/>
      <c r="D9" s="6"/>
      <c r="E9" s="6"/>
      <c r="F9" s="6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2025-12-16T13:25:55Z</dcterms:created>
  <dcterms:modified xsi:type="dcterms:W3CDTF">2025-12-18T14:46:41Z</dcterms:modified>
</cp:coreProperties>
</file>