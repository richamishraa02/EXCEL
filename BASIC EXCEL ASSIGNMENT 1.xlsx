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96" windowWidth="22980" windowHeight="9552"/>
  </bookViews>
  <sheets>
    <sheet name="Q1" sheetId="1" r:id="rId1"/>
    <sheet name="Q2" sheetId="2" r:id="rId2"/>
    <sheet name="Q3" sheetId="3" r:id="rId3"/>
    <sheet name="Q4" sheetId="5" r:id="rId4"/>
    <sheet name="Q5" sheetId="6" r:id="rId5"/>
    <sheet name="Q6" sheetId="7" r:id="rId6"/>
    <sheet name="Q7" sheetId="8" r:id="rId7"/>
    <sheet name="Q8" sheetId="9" r:id="rId8"/>
  </sheets>
  <calcPr calcId="144525"/>
</workbook>
</file>

<file path=xl/calcChain.xml><?xml version="1.0" encoding="utf-8"?>
<calcChain xmlns="http://schemas.openxmlformats.org/spreadsheetml/2006/main">
  <c r="F11" i="3" l="1"/>
  <c r="M9" i="8" l="1"/>
  <c r="M8" i="8"/>
  <c r="M7" i="8"/>
  <c r="M6" i="8"/>
  <c r="M5" i="8"/>
  <c r="K5" i="7"/>
  <c r="K5" i="6" l="1"/>
  <c r="K4" i="6"/>
  <c r="K6" i="6"/>
  <c r="K7" i="6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K44" i="6"/>
  <c r="K45" i="6"/>
  <c r="K46" i="6"/>
  <c r="K47" i="6"/>
  <c r="K48" i="6"/>
  <c r="K49" i="6"/>
  <c r="K50" i="6"/>
  <c r="K51" i="6"/>
  <c r="K52" i="6"/>
  <c r="K53" i="6"/>
  <c r="K4" i="5"/>
  <c r="B10" i="2"/>
</calcChain>
</file>

<file path=xl/sharedStrings.xml><?xml version="1.0" encoding="utf-8"?>
<sst xmlns="http://schemas.openxmlformats.org/spreadsheetml/2006/main" count="986" uniqueCount="146">
  <si>
    <t>ASSIGNMENT:BASIC OF EXCEL</t>
  </si>
  <si>
    <t>QUESTIONS:</t>
  </si>
  <si>
    <t>Q.1 Explain the difference between Relative , Absolute and Mixed Cell Referencing.</t>
  </si>
  <si>
    <t>Sol:</t>
  </si>
  <si>
    <t>1. Relative Cell Reference</t>
  </si>
  <si>
    <t>● In relative referencing, the cell reference in a formula changes automatically when the formula is copied or moved to another cell.</t>
  </si>
  <si>
    <t>● It adjusts according to the relative position of rows and columns.</t>
  </si>
  <si>
    <t>Example:</t>
  </si>
  <si>
    <t xml:space="preserve">      If cell C1 contains the formula =A1 + B1, and it is copied to C2, the formula automatically changes to =A2 + B2.</t>
  </si>
  <si>
    <t>Use:</t>
  </si>
  <si>
    <t>Used when you want the formula to adjust automatically for each row or column, such as when calculating totals for multiple rows of data.</t>
  </si>
  <si>
    <t>2. Absolute Cell Reference</t>
  </si>
  <si>
    <t>● In absolute referencing, the cell reference does not change when copied or moved.</t>
  </si>
  <si>
    <t>● It remains fixed to a specific cell, regardless of where the formula is placed.</t>
  </si>
  <si>
    <t>● An absolute reference is indicated by adding dollar signs ($) before the column letter and row number.</t>
  </si>
  <si>
    <t>Example: =$A$1 + B1 — if copied to another cell, it remains =$A$1 + B1.</t>
  </si>
  <si>
    <t xml:space="preserve"> Used when a formula must always refer to a constant value, such as a fixed tax rate, discount rate, or conversion factor stored in one specific cell.</t>
  </si>
  <si>
    <t>3. Mixed Cell Reference</t>
  </si>
  <si>
    <t>● In mixed referencing, either the row or the column is fixed, but not both.</t>
  </si>
  <si>
    <t>● It combines features of relative and absolute referencing.</t>
  </si>
  <si>
    <t>Types of Mixed References:</t>
  </si>
  <si>
    <t xml:space="preserve">● $A1 → Column A is fixed, row changes when copied. </t>
  </si>
  <si>
    <t>● A$1 → Row 1 is fixed, column changes when copied.</t>
  </si>
  <si>
    <t xml:space="preserve"> If =$A1 is copied across columns, the column remains A, but the row changes according to the new position.</t>
  </si>
  <si>
    <t xml:space="preserve">Use: </t>
  </si>
  <si>
    <t>Used when copying formulas across rows or columns where only one part of the reference (row or column) should remain constant.</t>
  </si>
  <si>
    <t xml:space="preserve">Q.2 Write a formula to calculate the total Price of Car and Bicycle only. </t>
  </si>
  <si>
    <t>VEHICLE</t>
  </si>
  <si>
    <t>PRICE</t>
  </si>
  <si>
    <t>Car</t>
  </si>
  <si>
    <t>Bicycle</t>
  </si>
  <si>
    <t>Auto-Rickshaw</t>
  </si>
  <si>
    <t>FORMULA:  = SUM(F7,F8)</t>
  </si>
  <si>
    <t xml:space="preserve">Total price of car and bicycle is: </t>
  </si>
  <si>
    <t>ITEM</t>
  </si>
  <si>
    <t>SALES</t>
  </si>
  <si>
    <t>Item1</t>
  </si>
  <si>
    <t>Item2</t>
  </si>
  <si>
    <t>Item3</t>
  </si>
  <si>
    <t>The average sale of item price above 100 but less than 300:</t>
  </si>
  <si>
    <r>
      <t xml:space="preserve">FORMULA:  </t>
    </r>
    <r>
      <rPr>
        <sz val="16"/>
        <color theme="1"/>
        <rFont val="Calibri"/>
        <family val="2"/>
        <scheme val="minor"/>
      </rPr>
      <t>=</t>
    </r>
    <r>
      <rPr>
        <sz val="12"/>
        <color theme="1"/>
        <rFont val="Calibri"/>
        <family val="2"/>
        <scheme val="minor"/>
      </rPr>
      <t>AVERAGEIFS(C4:C6,B4:B6,"&gt;100",B4:B6,"&lt;300")</t>
    </r>
  </si>
  <si>
    <t>Q.4 Count how many customer name are recorded</t>
  </si>
  <si>
    <t>OrderID</t>
  </si>
  <si>
    <t>CustomerName</t>
  </si>
  <si>
    <t>Region</t>
  </si>
  <si>
    <t>Product</t>
  </si>
  <si>
    <t>Quantity</t>
  </si>
  <si>
    <t>UnitPrice</t>
  </si>
  <si>
    <t>OrderDate</t>
  </si>
  <si>
    <t>Amit Sharma</t>
  </si>
  <si>
    <t>North</t>
  </si>
  <si>
    <t>Notebook</t>
  </si>
  <si>
    <t>Neha Verma</t>
  </si>
  <si>
    <t>South</t>
  </si>
  <si>
    <t>Pen</t>
  </si>
  <si>
    <t>Rahul Singh</t>
  </si>
  <si>
    <t>East</t>
  </si>
  <si>
    <t>Marker</t>
  </si>
  <si>
    <t>Pooja Mehta</t>
  </si>
  <si>
    <t>West</t>
  </si>
  <si>
    <t>Ankit Jain</t>
  </si>
  <si>
    <t>Pencil</t>
  </si>
  <si>
    <t>Sneha Patel</t>
  </si>
  <si>
    <t>Vikas Gupta</t>
  </si>
  <si>
    <t>Eraser</t>
  </si>
  <si>
    <t>13-01-2024</t>
  </si>
  <si>
    <t>Meera Nair</t>
  </si>
  <si>
    <t>15-01-2024</t>
  </si>
  <si>
    <t>Anjali Rao</t>
  </si>
  <si>
    <t>17-01-2024</t>
  </si>
  <si>
    <t>Manoj Das</t>
  </si>
  <si>
    <t>18-01-2024</t>
  </si>
  <si>
    <t>Ritika Sen</t>
  </si>
  <si>
    <t>19-01-2024</t>
  </si>
  <si>
    <t>Karan Malhotra</t>
  </si>
  <si>
    <t>20-01-2024</t>
  </si>
  <si>
    <t>Aryan Joshi</t>
  </si>
  <si>
    <t>22-01-2024</t>
  </si>
  <si>
    <t>Divya Kapoor</t>
  </si>
  <si>
    <t>23-01-2024</t>
  </si>
  <si>
    <t>Sahil Arora</t>
  </si>
  <si>
    <t>24-01-2024</t>
  </si>
  <si>
    <t>Muskan Jain</t>
  </si>
  <si>
    <t>26-01-2024</t>
  </si>
  <si>
    <t>Rohan Gupta</t>
  </si>
  <si>
    <t>28-01-2024</t>
  </si>
  <si>
    <t>Nidhi Sharma</t>
  </si>
  <si>
    <t>29-01-2024</t>
  </si>
  <si>
    <t>Tarun Verma</t>
  </si>
  <si>
    <t>30-01-2024</t>
  </si>
  <si>
    <t>Simran Kaur</t>
  </si>
  <si>
    <t>Deepak Rao</t>
  </si>
  <si>
    <t>Payal Mehta</t>
  </si>
  <si>
    <t>Aditya Singh</t>
  </si>
  <si>
    <t>Shreya Nair</t>
  </si>
  <si>
    <t>Sanjay Kumar</t>
  </si>
  <si>
    <t>Aarti Sharma</t>
  </si>
  <si>
    <t>Rajesh Patel</t>
  </si>
  <si>
    <t>Preeti Joshi</t>
  </si>
  <si>
    <t>Anurag Mishra</t>
  </si>
  <si>
    <t>Sanya Kapoor</t>
  </si>
  <si>
    <t>13-02-2024</t>
  </si>
  <si>
    <t>Harsh Yadav</t>
  </si>
  <si>
    <t>14-02-2024</t>
  </si>
  <si>
    <t>Kajal Rani</t>
  </si>
  <si>
    <t>16-02-2024</t>
  </si>
  <si>
    <t>Varun Sharma</t>
  </si>
  <si>
    <t>17-02-2024</t>
  </si>
  <si>
    <t>Swati Arora</t>
  </si>
  <si>
    <t>18-02-2024</t>
  </si>
  <si>
    <t>Akhil Jain</t>
  </si>
  <si>
    <t>19-02-2024</t>
  </si>
  <si>
    <t>Priyanka Das</t>
  </si>
  <si>
    <t>21-02-2024</t>
  </si>
  <si>
    <t>Ravi Nair</t>
  </si>
  <si>
    <t>22-02-2024</t>
  </si>
  <si>
    <t>Komal Singh</t>
  </si>
  <si>
    <t>23-02-2024</t>
  </si>
  <si>
    <t>Ayesha Khan</t>
  </si>
  <si>
    <t>25-02-2024</t>
  </si>
  <si>
    <t>Arjun Mehta</t>
  </si>
  <si>
    <t>26-02-2024</t>
  </si>
  <si>
    <t>Sonali Gupta</t>
  </si>
  <si>
    <t>27-02-2024</t>
  </si>
  <si>
    <t>Neeraj Kapoor</t>
  </si>
  <si>
    <t>28-02-2024</t>
  </si>
  <si>
    <t>Shruti Sharma</t>
  </si>
  <si>
    <t>Yash Arora</t>
  </si>
  <si>
    <t>Manish Das</t>
  </si>
  <si>
    <t>Rupal Nair</t>
  </si>
  <si>
    <t>Sonia Verma</t>
  </si>
  <si>
    <t>Kunal Singh</t>
  </si>
  <si>
    <t>Ritika Jain</t>
  </si>
  <si>
    <t>Vivek Malhotra</t>
  </si>
  <si>
    <t>Formula =COUNTA(B4:B53)</t>
  </si>
  <si>
    <t>Q.5 Calculate the Total Sales for each row using a formula.</t>
  </si>
  <si>
    <t>Solution :</t>
  </si>
  <si>
    <t xml:space="preserve">Total Sales </t>
  </si>
  <si>
    <t>Formula Used : 
=PRODUCT(number1,number2)</t>
  </si>
  <si>
    <t>Q.6 Calculate the total sales of Notebooks in the North region only</t>
  </si>
  <si>
    <t>Total Sale</t>
  </si>
  <si>
    <t>Formula used :
 =SUMIFS(H6:H55,C6:C55,"North",D6:D55,"Notebook")</t>
  </si>
  <si>
    <t>Q.7 Create a column chart showing total sales by product.</t>
  </si>
  <si>
    <t>Total Sales (Productwise)</t>
  </si>
  <si>
    <t>Q.8 Insert a line chart showing daily sales trend.</t>
  </si>
  <si>
    <t xml:space="preserve">Q.3 Using the data below, write a formula to calculate the average sales of items priced above 100 but less than 300.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</si>
</sst>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\-dd\-yyyy"/>
  </numFmts>
  <fonts count="10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62">
    <xf numFmtId="0" fontId="0" fillId="0" borderId="0" xfId="0"/>
    <xf numFmtId="0" fontId="0" fillId="0" borderId="0" xfId="0"/>
    <xf numFmtId="0" fontId="0" fillId="4" borderId="0" xfId="0" applyFill="1"/>
    <xf numFmtId="0" fontId="0" fillId="6" borderId="0" xfId="0" applyFill="1"/>
    <xf numFmtId="0" fontId="1" fillId="7" borderId="0" xfId="0" applyFont="1" applyFill="1"/>
    <xf numFmtId="0" fontId="0" fillId="7" borderId="0" xfId="0" applyFill="1"/>
    <xf numFmtId="0" fontId="1" fillId="0" borderId="0" xfId="0" applyFont="1" applyFill="1"/>
    <xf numFmtId="0" fontId="0" fillId="0" borderId="0" xfId="0" applyFill="1"/>
    <xf numFmtId="0" fontId="0" fillId="0" borderId="0" xfId="0" applyFill="1" applyAlignment="1"/>
    <xf numFmtId="0" fontId="0" fillId="0" borderId="0" xfId="0" applyFill="1" applyAlignment="1">
      <alignment horizontal="left" vertical="center" wrapText="1"/>
    </xf>
    <xf numFmtId="0" fontId="0" fillId="0" borderId="0" xfId="0" applyFill="1" applyAlignment="1">
      <alignment wrapText="1"/>
    </xf>
    <xf numFmtId="0" fontId="4" fillId="8" borderId="0" xfId="0" applyFont="1" applyFill="1" applyAlignment="1">
      <alignment horizontal="center"/>
    </xf>
    <xf numFmtId="0" fontId="3" fillId="9" borderId="0" xfId="0" applyFont="1" applyFill="1" applyAlignment="1">
      <alignment horizontal="center"/>
    </xf>
    <xf numFmtId="0" fontId="0" fillId="0" borderId="0" xfId="0" applyFill="1" applyAlignment="1">
      <alignment horizontal="left"/>
    </xf>
    <xf numFmtId="0" fontId="0" fillId="0" borderId="0" xfId="0"/>
    <xf numFmtId="0" fontId="1" fillId="2" borderId="0" xfId="0" applyFont="1" applyFill="1"/>
    <xf numFmtId="0" fontId="0" fillId="2" borderId="0" xfId="0" applyFill="1"/>
    <xf numFmtId="0" fontId="0" fillId="11" borderId="1" xfId="0" applyFill="1" applyBorder="1"/>
    <xf numFmtId="0" fontId="0" fillId="12" borderId="1" xfId="0" applyFill="1" applyBorder="1"/>
    <xf numFmtId="0" fontId="0" fillId="12" borderId="1" xfId="0" applyFill="1" applyBorder="1" applyAlignment="1">
      <alignment wrapText="1"/>
    </xf>
    <xf numFmtId="0" fontId="0" fillId="2" borderId="0" xfId="0" applyFill="1" applyAlignment="1">
      <alignment horizontal="left" vertical="top"/>
    </xf>
    <xf numFmtId="0" fontId="0" fillId="0" borderId="0" xfId="0"/>
    <xf numFmtId="0" fontId="0" fillId="3" borderId="0" xfId="0" applyFill="1"/>
    <xf numFmtId="0" fontId="0" fillId="10" borderId="0" xfId="0" applyFill="1"/>
    <xf numFmtId="0" fontId="0" fillId="11" borderId="0" xfId="0" applyFill="1"/>
    <xf numFmtId="0" fontId="0" fillId="13" borderId="0" xfId="0" applyFill="1"/>
    <xf numFmtId="0" fontId="1" fillId="10" borderId="0" xfId="0" applyFont="1" applyFill="1"/>
    <xf numFmtId="0" fontId="0" fillId="0" borderId="0" xfId="0"/>
    <xf numFmtId="0" fontId="5" fillId="10" borderId="1" xfId="0" applyFont="1" applyFill="1" applyBorder="1"/>
    <xf numFmtId="0" fontId="6" fillId="12" borderId="1" xfId="0" applyFont="1" applyFill="1" applyBorder="1" applyAlignment="1">
      <alignment horizontal="right"/>
    </xf>
    <xf numFmtId="0" fontId="6" fillId="12" borderId="1" xfId="0" applyFont="1" applyFill="1" applyBorder="1"/>
    <xf numFmtId="164" fontId="6" fillId="12" borderId="1" xfId="0" applyNumberFormat="1" applyFont="1" applyFill="1" applyBorder="1" applyAlignment="1">
      <alignment horizontal="right"/>
    </xf>
    <xf numFmtId="0" fontId="0" fillId="0" borderId="0" xfId="0" applyAlignment="1">
      <alignment horizontal="left"/>
    </xf>
    <xf numFmtId="0" fontId="0" fillId="5" borderId="0" xfId="0" applyFill="1" applyAlignment="1">
      <alignment horizontal="left"/>
    </xf>
    <xf numFmtId="0" fontId="0" fillId="5" borderId="0" xfId="0" applyFill="1" applyAlignment="1">
      <alignment horizontal="center"/>
    </xf>
    <xf numFmtId="0" fontId="0" fillId="0" borderId="0" xfId="0"/>
    <xf numFmtId="0" fontId="5" fillId="3" borderId="0" xfId="0" applyFont="1" applyFill="1" applyBorder="1"/>
    <xf numFmtId="0" fontId="0" fillId="3" borderId="0" xfId="0" applyFill="1" applyAlignment="1">
      <alignment horizontal="center" wrapText="1"/>
    </xf>
    <xf numFmtId="0" fontId="0" fillId="0" borderId="0" xfId="0"/>
    <xf numFmtId="0" fontId="7" fillId="2" borderId="0" xfId="0" applyFont="1" applyFill="1" applyBorder="1"/>
    <xf numFmtId="0" fontId="5" fillId="10" borderId="2" xfId="0" applyFont="1" applyFill="1" applyBorder="1"/>
    <xf numFmtId="0" fontId="0" fillId="12" borderId="1" xfId="0" applyFont="1" applyFill="1" applyBorder="1"/>
    <xf numFmtId="0" fontId="2" fillId="15" borderId="0" xfId="0" applyFont="1" applyFill="1"/>
    <xf numFmtId="0" fontId="0" fillId="16" borderId="0" xfId="0" applyFill="1" applyAlignment="1">
      <alignment horizontal="left"/>
    </xf>
    <xf numFmtId="0" fontId="0" fillId="3" borderId="0" xfId="0" applyFill="1" applyAlignment="1">
      <alignment horizontal="center" vertical="center" wrapText="1"/>
    </xf>
    <xf numFmtId="0" fontId="5" fillId="10" borderId="3" xfId="0" applyFont="1" applyFill="1" applyBorder="1"/>
    <xf numFmtId="0" fontId="0" fillId="14" borderId="0" xfId="0" applyFill="1"/>
    <xf numFmtId="0" fontId="0" fillId="14" borderId="0" xfId="0" applyFill="1" applyBorder="1"/>
    <xf numFmtId="0" fontId="0" fillId="16" borderId="1" xfId="0" applyFont="1" applyFill="1" applyBorder="1"/>
    <xf numFmtId="0" fontId="1" fillId="16" borderId="0" xfId="0" applyFont="1" applyFill="1"/>
    <xf numFmtId="0" fontId="1" fillId="8" borderId="0" xfId="0" applyFont="1" applyFill="1" applyAlignment="1">
      <alignment horizontal="center"/>
    </xf>
    <xf numFmtId="0" fontId="1" fillId="2" borderId="0" xfId="0" applyFont="1" applyFill="1" applyAlignment="1">
      <alignment horizontal="left"/>
    </xf>
    <xf numFmtId="0" fontId="0" fillId="2" borderId="0" xfId="0" applyFill="1" applyAlignment="1">
      <alignment horizontal="center"/>
    </xf>
    <xf numFmtId="0" fontId="1" fillId="10" borderId="0" xfId="0" applyFont="1" applyFill="1" applyAlignment="1">
      <alignment horizontal="center"/>
    </xf>
    <xf numFmtId="0" fontId="8" fillId="8" borderId="0" xfId="0" applyFont="1" applyFill="1" applyAlignment="1">
      <alignment horizontal="center" vertical="center"/>
    </xf>
    <xf numFmtId="0" fontId="8" fillId="0" borderId="0" xfId="0" applyFont="1"/>
    <xf numFmtId="0" fontId="8" fillId="8" borderId="0" xfId="0" applyFont="1" applyFill="1" applyAlignment="1">
      <alignment horizontal="center"/>
    </xf>
    <xf numFmtId="0" fontId="8" fillId="8" borderId="0" xfId="0" applyFont="1" applyFill="1"/>
    <xf numFmtId="0" fontId="9" fillId="8" borderId="0" xfId="0" applyFont="1" applyFill="1" applyAlignment="1">
      <alignment horizontal="center"/>
    </xf>
    <xf numFmtId="0" fontId="9" fillId="0" borderId="0" xfId="0" applyFont="1"/>
    <xf numFmtId="0" fontId="9" fillId="8" borderId="0" xfId="0" applyFont="1" applyFill="1"/>
    <xf numFmtId="0" fontId="8" fillId="8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6">
                <a:lumMod val="75000"/>
              </a:schemeClr>
            </a:solidFill>
          </c:spPr>
          <c:invertIfNegative val="0"/>
          <c:cat>
            <c:strRef>
              <c:f>'Q7'!$L$5:$L$9</c:f>
              <c:strCache>
                <c:ptCount val="5"/>
                <c:pt idx="0">
                  <c:v>Notebook</c:v>
                </c:pt>
                <c:pt idx="1">
                  <c:v>Pen</c:v>
                </c:pt>
                <c:pt idx="2">
                  <c:v>Marker</c:v>
                </c:pt>
                <c:pt idx="3">
                  <c:v>Pencil</c:v>
                </c:pt>
                <c:pt idx="4">
                  <c:v>Eraser</c:v>
                </c:pt>
              </c:strCache>
            </c:strRef>
          </c:cat>
          <c:val>
            <c:numRef>
              <c:f>'Q7'!$M$5:$M$9</c:f>
              <c:numCache>
                <c:formatCode>General</c:formatCode>
                <c:ptCount val="5"/>
                <c:pt idx="0">
                  <c:v>7550</c:v>
                </c:pt>
                <c:pt idx="1">
                  <c:v>2180</c:v>
                </c:pt>
                <c:pt idx="2">
                  <c:v>3650</c:v>
                </c:pt>
                <c:pt idx="3">
                  <c:v>1235</c:v>
                </c:pt>
                <c:pt idx="4">
                  <c:v>1928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0790400"/>
        <c:axId val="161157120"/>
      </c:barChart>
      <c:catAx>
        <c:axId val="160790400"/>
        <c:scaling>
          <c:orientation val="minMax"/>
        </c:scaling>
        <c:delete val="0"/>
        <c:axPos val="b"/>
        <c:majorTickMark val="out"/>
        <c:minorTickMark val="none"/>
        <c:tickLblPos val="nextTo"/>
        <c:crossAx val="161157120"/>
        <c:crosses val="autoZero"/>
        <c:auto val="1"/>
        <c:lblAlgn val="ctr"/>
        <c:lblOffset val="100"/>
        <c:noMultiLvlLbl val="0"/>
      </c:catAx>
      <c:valAx>
        <c:axId val="16115712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16079040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spPr>
    <a:solidFill>
      <a:schemeClr val="accent1">
        <a:lumMod val="60000"/>
        <a:lumOff val="40000"/>
      </a:schemeClr>
    </a:solidFill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cat>
            <c:strRef>
              <c:f>'Q8'!$D$3:$D$56</c:f>
              <c:strCache>
                <c:ptCount val="50"/>
                <c:pt idx="0">
                  <c:v>Notebook</c:v>
                </c:pt>
                <c:pt idx="1">
                  <c:v>Pen</c:v>
                </c:pt>
                <c:pt idx="2">
                  <c:v>Marker</c:v>
                </c:pt>
                <c:pt idx="3">
                  <c:v>Notebook</c:v>
                </c:pt>
                <c:pt idx="4">
                  <c:v>Pencil</c:v>
                </c:pt>
                <c:pt idx="5">
                  <c:v>Notebook</c:v>
                </c:pt>
                <c:pt idx="6">
                  <c:v>Eraser</c:v>
                </c:pt>
                <c:pt idx="7">
                  <c:v>Pen</c:v>
                </c:pt>
                <c:pt idx="8">
                  <c:v>Marker</c:v>
                </c:pt>
                <c:pt idx="9">
                  <c:v>Notebook</c:v>
                </c:pt>
                <c:pt idx="10">
                  <c:v>Pencil</c:v>
                </c:pt>
                <c:pt idx="11">
                  <c:v>Eraser</c:v>
                </c:pt>
                <c:pt idx="12">
                  <c:v>Notebook</c:v>
                </c:pt>
                <c:pt idx="13">
                  <c:v>Pen</c:v>
                </c:pt>
                <c:pt idx="14">
                  <c:v>Marker</c:v>
                </c:pt>
                <c:pt idx="15">
                  <c:v>Pencil</c:v>
                </c:pt>
                <c:pt idx="16">
                  <c:v>Eraser</c:v>
                </c:pt>
                <c:pt idx="17">
                  <c:v>Notebook</c:v>
                </c:pt>
                <c:pt idx="18">
                  <c:v>Pen</c:v>
                </c:pt>
                <c:pt idx="19">
                  <c:v>Marker</c:v>
                </c:pt>
                <c:pt idx="20">
                  <c:v>Notebook</c:v>
                </c:pt>
                <c:pt idx="21">
                  <c:v>Pencil</c:v>
                </c:pt>
                <c:pt idx="22">
                  <c:v>Eraser</c:v>
                </c:pt>
                <c:pt idx="23">
                  <c:v>Notebook</c:v>
                </c:pt>
                <c:pt idx="24">
                  <c:v>Pen</c:v>
                </c:pt>
                <c:pt idx="25">
                  <c:v>Marker</c:v>
                </c:pt>
                <c:pt idx="26">
                  <c:v>Pencil</c:v>
                </c:pt>
                <c:pt idx="27">
                  <c:v>Eraser</c:v>
                </c:pt>
                <c:pt idx="28">
                  <c:v>Notebook</c:v>
                </c:pt>
                <c:pt idx="29">
                  <c:v>Pen</c:v>
                </c:pt>
                <c:pt idx="30">
                  <c:v>Marker</c:v>
                </c:pt>
                <c:pt idx="31">
                  <c:v>Pencil</c:v>
                </c:pt>
                <c:pt idx="32">
                  <c:v>Eraser</c:v>
                </c:pt>
                <c:pt idx="33">
                  <c:v>Notebook</c:v>
                </c:pt>
                <c:pt idx="34">
                  <c:v>Pen</c:v>
                </c:pt>
                <c:pt idx="35">
                  <c:v>Marker</c:v>
                </c:pt>
                <c:pt idx="36">
                  <c:v>Pencil</c:v>
                </c:pt>
                <c:pt idx="37">
                  <c:v>Eraser</c:v>
                </c:pt>
                <c:pt idx="38">
                  <c:v>Notebook</c:v>
                </c:pt>
                <c:pt idx="39">
                  <c:v>Pen</c:v>
                </c:pt>
                <c:pt idx="40">
                  <c:v>Marker</c:v>
                </c:pt>
                <c:pt idx="41">
                  <c:v>Pencil</c:v>
                </c:pt>
                <c:pt idx="42">
                  <c:v>Eraser</c:v>
                </c:pt>
                <c:pt idx="43">
                  <c:v>Notebook</c:v>
                </c:pt>
                <c:pt idx="44">
                  <c:v>Pen</c:v>
                </c:pt>
                <c:pt idx="45">
                  <c:v>Marker</c:v>
                </c:pt>
                <c:pt idx="46">
                  <c:v>Pencil</c:v>
                </c:pt>
                <c:pt idx="47">
                  <c:v>Eraser</c:v>
                </c:pt>
                <c:pt idx="48">
                  <c:v>Notebook</c:v>
                </c:pt>
                <c:pt idx="49">
                  <c:v>Pen</c:v>
                </c:pt>
              </c:strCache>
            </c:strRef>
          </c:cat>
          <c:val>
            <c:numRef>
              <c:f>'Q8'!$H$3:$H$56</c:f>
              <c:numCache>
                <c:formatCode>General</c:formatCode>
                <c:ptCount val="54"/>
                <c:pt idx="0">
                  <c:v>500</c:v>
                </c:pt>
                <c:pt idx="1">
                  <c:v>200</c:v>
                </c:pt>
                <c:pt idx="2">
                  <c:v>375</c:v>
                </c:pt>
                <c:pt idx="3">
                  <c:v>250</c:v>
                </c:pt>
                <c:pt idx="4">
                  <c:v>150</c:v>
                </c:pt>
                <c:pt idx="5">
                  <c:v>600</c:v>
                </c:pt>
                <c:pt idx="6">
                  <c:v>200</c:v>
                </c:pt>
                <c:pt idx="7">
                  <c:v>180</c:v>
                </c:pt>
                <c:pt idx="8">
                  <c:v>550</c:v>
                </c:pt>
                <c:pt idx="9">
                  <c:v>400</c:v>
                </c:pt>
                <c:pt idx="10">
                  <c:v>200</c:v>
                </c:pt>
                <c:pt idx="11">
                  <c:v>280</c:v>
                </c:pt>
                <c:pt idx="12">
                  <c:v>700</c:v>
                </c:pt>
                <c:pt idx="13">
                  <c:v>280</c:v>
                </c:pt>
                <c:pt idx="14">
                  <c:v>300</c:v>
                </c:pt>
                <c:pt idx="15">
                  <c:v>125</c:v>
                </c:pt>
                <c:pt idx="16">
                  <c:v>160</c:v>
                </c:pt>
                <c:pt idx="17">
                  <c:v>500</c:v>
                </c:pt>
                <c:pt idx="18">
                  <c:v>150</c:v>
                </c:pt>
                <c:pt idx="19">
                  <c:v>450</c:v>
                </c:pt>
                <c:pt idx="20">
                  <c:v>450</c:v>
                </c:pt>
                <c:pt idx="21">
                  <c:v>175</c:v>
                </c:pt>
                <c:pt idx="22">
                  <c:v>240</c:v>
                </c:pt>
                <c:pt idx="23">
                  <c:v>550</c:v>
                </c:pt>
                <c:pt idx="24">
                  <c:v>140</c:v>
                </c:pt>
                <c:pt idx="25">
                  <c:v>400</c:v>
                </c:pt>
                <c:pt idx="26">
                  <c:v>110</c:v>
                </c:pt>
                <c:pt idx="27">
                  <c:v>216</c:v>
                </c:pt>
                <c:pt idx="28">
                  <c:v>650</c:v>
                </c:pt>
                <c:pt idx="29">
                  <c:v>320</c:v>
                </c:pt>
                <c:pt idx="30">
                  <c:v>250</c:v>
                </c:pt>
                <c:pt idx="31">
                  <c:v>90</c:v>
                </c:pt>
                <c:pt idx="32">
                  <c:v>176</c:v>
                </c:pt>
                <c:pt idx="33">
                  <c:v>850</c:v>
                </c:pt>
                <c:pt idx="34">
                  <c:v>190</c:v>
                </c:pt>
                <c:pt idx="35">
                  <c:v>375</c:v>
                </c:pt>
                <c:pt idx="36">
                  <c:v>140</c:v>
                </c:pt>
                <c:pt idx="37">
                  <c:v>192</c:v>
                </c:pt>
                <c:pt idx="38">
                  <c:v>800</c:v>
                </c:pt>
                <c:pt idx="39">
                  <c:v>270</c:v>
                </c:pt>
                <c:pt idx="40">
                  <c:v>525</c:v>
                </c:pt>
                <c:pt idx="41">
                  <c:v>150</c:v>
                </c:pt>
                <c:pt idx="42">
                  <c:v>208</c:v>
                </c:pt>
                <c:pt idx="43">
                  <c:v>700</c:v>
                </c:pt>
                <c:pt idx="44">
                  <c:v>200</c:v>
                </c:pt>
                <c:pt idx="45">
                  <c:v>425</c:v>
                </c:pt>
                <c:pt idx="46">
                  <c:v>95</c:v>
                </c:pt>
                <c:pt idx="47">
                  <c:v>256</c:v>
                </c:pt>
                <c:pt idx="48">
                  <c:v>600</c:v>
                </c:pt>
                <c:pt idx="49">
                  <c:v>250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5225600"/>
        <c:axId val="165227136"/>
      </c:lineChart>
      <c:catAx>
        <c:axId val="165225600"/>
        <c:scaling>
          <c:orientation val="minMax"/>
        </c:scaling>
        <c:delete val="0"/>
        <c:axPos val="b"/>
        <c:majorTickMark val="none"/>
        <c:minorTickMark val="none"/>
        <c:tickLblPos val="nextTo"/>
        <c:crossAx val="165227136"/>
        <c:crosses val="autoZero"/>
        <c:auto val="1"/>
        <c:lblAlgn val="ctr"/>
        <c:lblOffset val="100"/>
        <c:noMultiLvlLbl val="0"/>
      </c:catAx>
      <c:valAx>
        <c:axId val="1652271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crossAx val="165225600"/>
        <c:crosses val="autoZero"/>
        <c:crossBetween val="between"/>
      </c:valAx>
      <c:spPr>
        <a:solidFill>
          <a:schemeClr val="tx2">
            <a:lumMod val="60000"/>
            <a:lumOff val="40000"/>
          </a:schemeClr>
        </a:solidFill>
      </c:spPr>
    </c:plotArea>
    <c:legend>
      <c:legendPos val="b"/>
      <c:layout/>
      <c:overlay val="0"/>
    </c:legend>
    <c:plotVisOnly val="1"/>
    <c:dispBlanksAs val="gap"/>
    <c:showDLblsOverMax val="0"/>
  </c:chart>
  <c:spPr>
    <a:solidFill>
      <a:schemeClr val="accent2">
        <a:lumMod val="60000"/>
        <a:lumOff val="40000"/>
      </a:schemeClr>
    </a:solidFill>
  </c:spPr>
  <c:txPr>
    <a:bodyPr/>
    <a:lstStyle/>
    <a:p>
      <a:pPr>
        <a:defRPr>
          <a:solidFill>
            <a:srgbClr val="FF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601980</xdr:colOff>
      <xdr:row>10</xdr:row>
      <xdr:rowOff>15240</xdr:rowOff>
    </xdr:from>
    <xdr:to>
      <xdr:col>17</xdr:col>
      <xdr:colOff>30480</xdr:colOff>
      <xdr:row>25</xdr:row>
      <xdr:rowOff>3810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5</xdr:row>
      <xdr:rowOff>163830</xdr:rowOff>
    </xdr:from>
    <xdr:to>
      <xdr:col>22</xdr:col>
      <xdr:colOff>160020</xdr:colOff>
      <xdr:row>24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3"/>
  <sheetViews>
    <sheetView tabSelected="1" workbookViewId="0"/>
  </sheetViews>
  <sheetFormatPr defaultRowHeight="14.4" x14ac:dyDescent="0.3"/>
  <cols>
    <col min="1" max="1" width="123.44140625" customWidth="1"/>
  </cols>
  <sheetData>
    <row r="1" spans="1:1" ht="31.2" x14ac:dyDescent="0.6">
      <c r="A1" s="11" t="s">
        <v>0</v>
      </c>
    </row>
    <row r="3" spans="1:1" ht="21" x14ac:dyDescent="0.4">
      <c r="A3" s="12" t="s">
        <v>1</v>
      </c>
    </row>
    <row r="5" spans="1:1" ht="15.6" x14ac:dyDescent="0.3">
      <c r="A5" s="4" t="s">
        <v>2</v>
      </c>
    </row>
    <row r="6" spans="1:1" ht="15.6" x14ac:dyDescent="0.3">
      <c r="A6" s="6" t="s">
        <v>3</v>
      </c>
    </row>
    <row r="7" spans="1:1" x14ac:dyDescent="0.3">
      <c r="A7" s="2" t="s">
        <v>4</v>
      </c>
    </row>
    <row r="8" spans="1:1" x14ac:dyDescent="0.3">
      <c r="A8" s="8" t="s">
        <v>5</v>
      </c>
    </row>
    <row r="9" spans="1:1" x14ac:dyDescent="0.3">
      <c r="A9" s="7" t="s">
        <v>6</v>
      </c>
    </row>
    <row r="10" spans="1:1" x14ac:dyDescent="0.3">
      <c r="A10" s="7" t="s">
        <v>7</v>
      </c>
    </row>
    <row r="11" spans="1:1" x14ac:dyDescent="0.3">
      <c r="A11" s="7" t="s">
        <v>8</v>
      </c>
    </row>
    <row r="12" spans="1:1" x14ac:dyDescent="0.3">
      <c r="A12" s="7" t="s">
        <v>9</v>
      </c>
    </row>
    <row r="13" spans="1:1" x14ac:dyDescent="0.3">
      <c r="A13" s="9" t="s">
        <v>10</v>
      </c>
    </row>
    <row r="14" spans="1:1" s="1" customFormat="1" x14ac:dyDescent="0.3">
      <c r="A14" s="9"/>
    </row>
    <row r="15" spans="1:1" x14ac:dyDescent="0.3">
      <c r="A15" s="2" t="s">
        <v>11</v>
      </c>
    </row>
    <row r="16" spans="1:1" x14ac:dyDescent="0.3">
      <c r="A16" s="13" t="s">
        <v>12</v>
      </c>
    </row>
    <row r="17" spans="1:1" x14ac:dyDescent="0.3">
      <c r="A17" s="13" t="s">
        <v>13</v>
      </c>
    </row>
    <row r="18" spans="1:1" x14ac:dyDescent="0.3">
      <c r="A18" s="13" t="s">
        <v>14</v>
      </c>
    </row>
    <row r="19" spans="1:1" x14ac:dyDescent="0.3">
      <c r="A19" s="13" t="s">
        <v>7</v>
      </c>
    </row>
    <row r="20" spans="1:1" x14ac:dyDescent="0.3">
      <c r="A20" s="13" t="s">
        <v>15</v>
      </c>
    </row>
    <row r="21" spans="1:1" x14ac:dyDescent="0.3">
      <c r="A21" s="13" t="s">
        <v>9</v>
      </c>
    </row>
    <row r="22" spans="1:1" x14ac:dyDescent="0.3">
      <c r="A22" s="13" t="s">
        <v>16</v>
      </c>
    </row>
    <row r="23" spans="1:1" s="1" customFormat="1" x14ac:dyDescent="0.3">
      <c r="A23" s="10"/>
    </row>
    <row r="24" spans="1:1" x14ac:dyDescent="0.3">
      <c r="A24" s="2" t="s">
        <v>17</v>
      </c>
    </row>
    <row r="25" spans="1:1" x14ac:dyDescent="0.3">
      <c r="A25" s="7" t="s">
        <v>18</v>
      </c>
    </row>
    <row r="26" spans="1:1" x14ac:dyDescent="0.3">
      <c r="A26" s="7" t="s">
        <v>19</v>
      </c>
    </row>
    <row r="27" spans="1:1" x14ac:dyDescent="0.3">
      <c r="A27" s="7" t="s">
        <v>20</v>
      </c>
    </row>
    <row r="28" spans="1:1" x14ac:dyDescent="0.3">
      <c r="A28" s="7" t="s">
        <v>21</v>
      </c>
    </row>
    <row r="29" spans="1:1" x14ac:dyDescent="0.3">
      <c r="A29" s="7" t="s">
        <v>22</v>
      </c>
    </row>
    <row r="30" spans="1:1" x14ac:dyDescent="0.3">
      <c r="A30" s="7" t="s">
        <v>7</v>
      </c>
    </row>
    <row r="31" spans="1:1" x14ac:dyDescent="0.3">
      <c r="A31" s="7" t="s">
        <v>23</v>
      </c>
    </row>
    <row r="32" spans="1:1" x14ac:dyDescent="0.3">
      <c r="A32" s="7" t="s">
        <v>24</v>
      </c>
    </row>
    <row r="33" spans="1:1" x14ac:dyDescent="0.3">
      <c r="A33" s="7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workbookViewId="0">
      <selection sqref="A1:J1"/>
    </sheetView>
  </sheetViews>
  <sheetFormatPr defaultRowHeight="14.4" x14ac:dyDescent="0.3"/>
  <sheetData>
    <row r="1" spans="1:10" ht="15.6" x14ac:dyDescent="0.3">
      <c r="A1" s="50" t="s">
        <v>26</v>
      </c>
      <c r="B1" s="50"/>
      <c r="C1" s="50"/>
      <c r="D1" s="50"/>
      <c r="E1" s="50"/>
      <c r="F1" s="50"/>
      <c r="G1" s="50"/>
      <c r="H1" s="50"/>
      <c r="I1" s="50"/>
      <c r="J1" s="50"/>
    </row>
    <row r="3" spans="1:10" x14ac:dyDescent="0.3">
      <c r="A3" s="17" t="s">
        <v>27</v>
      </c>
      <c r="B3" s="17" t="s">
        <v>28</v>
      </c>
      <c r="E3" s="14"/>
      <c r="F3" s="14"/>
      <c r="G3" s="14"/>
      <c r="H3" s="14"/>
      <c r="I3" s="14"/>
      <c r="J3" s="14"/>
    </row>
    <row r="4" spans="1:10" x14ac:dyDescent="0.3">
      <c r="A4" s="18" t="s">
        <v>29</v>
      </c>
      <c r="B4" s="18">
        <v>500000</v>
      </c>
      <c r="E4" s="14"/>
      <c r="F4" s="14"/>
      <c r="G4" s="14"/>
      <c r="H4" s="14"/>
      <c r="I4" s="14"/>
      <c r="J4" s="14"/>
    </row>
    <row r="5" spans="1:10" x14ac:dyDescent="0.3">
      <c r="A5" s="18" t="s">
        <v>30</v>
      </c>
      <c r="B5" s="18">
        <v>10500</v>
      </c>
      <c r="E5" s="14"/>
      <c r="F5" s="14"/>
      <c r="G5" s="14"/>
      <c r="H5" s="14"/>
      <c r="I5" s="14"/>
      <c r="J5" s="14"/>
    </row>
    <row r="6" spans="1:10" ht="28.8" x14ac:dyDescent="0.3">
      <c r="A6" s="19" t="s">
        <v>31</v>
      </c>
      <c r="B6" s="18">
        <v>25000</v>
      </c>
      <c r="E6" s="14"/>
      <c r="F6" s="14"/>
      <c r="G6" s="14"/>
      <c r="H6" s="14"/>
      <c r="I6" s="14"/>
      <c r="J6" s="14"/>
    </row>
    <row r="8" spans="1:10" ht="15.6" x14ac:dyDescent="0.3">
      <c r="A8" s="15" t="s">
        <v>3</v>
      </c>
      <c r="B8" s="16"/>
      <c r="C8" s="16"/>
      <c r="D8" s="16"/>
      <c r="E8" s="16"/>
      <c r="F8" s="16"/>
      <c r="G8" s="16"/>
      <c r="H8" s="16"/>
      <c r="I8" s="16"/>
      <c r="J8" s="14"/>
    </row>
    <row r="9" spans="1:10" ht="15.6" x14ac:dyDescent="0.3">
      <c r="A9" s="16"/>
      <c r="B9" s="51" t="s">
        <v>33</v>
      </c>
      <c r="C9" s="51"/>
      <c r="D9" s="51"/>
      <c r="E9" s="51"/>
      <c r="F9" s="51"/>
      <c r="G9" s="51"/>
      <c r="H9" s="51"/>
      <c r="I9" s="51"/>
      <c r="J9" s="14"/>
    </row>
    <row r="10" spans="1:10" x14ac:dyDescent="0.3">
      <c r="A10" s="16"/>
      <c r="B10" s="16">
        <f>SUM(B4,B5)</f>
        <v>510500</v>
      </c>
      <c r="C10" s="16"/>
      <c r="D10" s="16"/>
      <c r="E10" s="16"/>
      <c r="F10" s="16"/>
      <c r="G10" s="16"/>
      <c r="H10" s="16"/>
      <c r="I10" s="16"/>
      <c r="J10" s="14"/>
    </row>
    <row r="11" spans="1:10" x14ac:dyDescent="0.3">
      <c r="A11" s="16"/>
      <c r="B11" s="16" t="s">
        <v>32</v>
      </c>
      <c r="C11" s="16"/>
      <c r="D11" s="16"/>
      <c r="E11" s="16"/>
      <c r="F11" s="20"/>
      <c r="G11" s="16"/>
      <c r="H11" s="16"/>
      <c r="I11" s="16"/>
      <c r="J11" s="14"/>
    </row>
    <row r="12" spans="1:10" x14ac:dyDescent="0.3">
      <c r="A12" s="16"/>
      <c r="B12" s="16"/>
      <c r="C12" s="16"/>
      <c r="D12" s="16"/>
      <c r="E12" s="16"/>
      <c r="F12" s="16"/>
      <c r="G12" s="16"/>
      <c r="H12" s="16"/>
      <c r="I12" s="16"/>
      <c r="J12" s="14"/>
    </row>
    <row r="13" spans="1:10" x14ac:dyDescent="0.3">
      <c r="A13" s="16"/>
      <c r="B13" s="16"/>
      <c r="C13" s="52"/>
      <c r="D13" s="52"/>
      <c r="E13" s="52"/>
      <c r="F13" s="52"/>
      <c r="G13" s="52"/>
      <c r="H13" s="52"/>
      <c r="I13" s="16"/>
      <c r="J13" s="14"/>
    </row>
  </sheetData>
  <mergeCells count="3">
    <mergeCell ref="A1:J1"/>
    <mergeCell ref="B9:I9"/>
    <mergeCell ref="C13:H1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2"/>
  <sheetViews>
    <sheetView workbookViewId="0">
      <selection sqref="A1:R1"/>
    </sheetView>
  </sheetViews>
  <sheetFormatPr defaultRowHeight="14.4" x14ac:dyDescent="0.3"/>
  <sheetData>
    <row r="1" spans="1:18" s="57" customFormat="1" ht="15.6" x14ac:dyDescent="0.3">
      <c r="A1" s="56" t="s">
        <v>145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</row>
    <row r="2" spans="1:18" x14ac:dyDescent="0.3">
      <c r="A2" s="38"/>
    </row>
    <row r="3" spans="1:18" x14ac:dyDescent="0.3">
      <c r="A3" s="24" t="s">
        <v>34</v>
      </c>
      <c r="B3" s="24" t="s">
        <v>28</v>
      </c>
      <c r="C3" s="24" t="s">
        <v>35</v>
      </c>
      <c r="E3" s="21"/>
      <c r="F3" s="21"/>
      <c r="G3" s="21"/>
      <c r="H3" s="21"/>
      <c r="I3" s="21"/>
      <c r="J3" s="21"/>
      <c r="K3" s="21"/>
      <c r="L3" s="21"/>
    </row>
    <row r="4" spans="1:18" x14ac:dyDescent="0.3">
      <c r="A4" s="25" t="s">
        <v>36</v>
      </c>
      <c r="B4" s="25">
        <v>90</v>
      </c>
      <c r="C4" s="25">
        <v>1000</v>
      </c>
      <c r="E4" s="21"/>
      <c r="F4" s="21"/>
      <c r="G4" s="21"/>
      <c r="H4" s="21"/>
      <c r="I4" s="21"/>
      <c r="J4" s="21"/>
      <c r="K4" s="21"/>
      <c r="L4" s="21"/>
    </row>
    <row r="5" spans="1:18" x14ac:dyDescent="0.3">
      <c r="A5" s="25" t="s">
        <v>37</v>
      </c>
      <c r="B5" s="25">
        <v>150</v>
      </c>
      <c r="C5" s="25">
        <v>1200</v>
      </c>
      <c r="E5" s="21"/>
      <c r="F5" s="21"/>
      <c r="G5" s="21"/>
      <c r="H5" s="21"/>
      <c r="I5" s="21"/>
      <c r="J5" s="21"/>
      <c r="K5" s="21"/>
      <c r="L5" s="21"/>
    </row>
    <row r="6" spans="1:18" x14ac:dyDescent="0.3">
      <c r="A6" s="25" t="s">
        <v>38</v>
      </c>
      <c r="B6" s="25">
        <v>250</v>
      </c>
      <c r="C6" s="25">
        <v>1500</v>
      </c>
      <c r="E6" s="21"/>
      <c r="F6" s="21"/>
      <c r="G6" s="21"/>
      <c r="H6" s="21"/>
      <c r="I6" s="21"/>
      <c r="J6" s="21"/>
      <c r="K6" s="21"/>
      <c r="L6" s="21"/>
    </row>
    <row r="8" spans="1:18" ht="15.6" x14ac:dyDescent="0.3">
      <c r="A8" s="26" t="s">
        <v>3</v>
      </c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</row>
    <row r="9" spans="1:18" ht="15.6" x14ac:dyDescent="0.3">
      <c r="A9" s="53" t="s">
        <v>39</v>
      </c>
      <c r="B9" s="53"/>
      <c r="C9" s="53"/>
      <c r="D9" s="53"/>
      <c r="E9" s="53"/>
      <c r="F9" s="53"/>
      <c r="G9" s="53"/>
      <c r="H9" s="53"/>
      <c r="I9" s="53"/>
      <c r="J9" s="53"/>
      <c r="K9" s="53"/>
      <c r="L9" s="53"/>
    </row>
    <row r="10" spans="1:18" x14ac:dyDescent="0.3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</row>
    <row r="11" spans="1:18" ht="15.6" x14ac:dyDescent="0.3">
      <c r="A11" s="23"/>
      <c r="B11" s="23"/>
      <c r="C11" s="23"/>
      <c r="D11" s="23"/>
      <c r="E11" s="23"/>
      <c r="F11" s="26">
        <f>AVERAGEIFS(C4:C6,B4:B6,"&gt;100",B4:B6,"&lt;300")</f>
        <v>1350</v>
      </c>
      <c r="G11" s="23"/>
      <c r="H11" s="23"/>
      <c r="I11" s="23"/>
      <c r="J11" s="23"/>
      <c r="K11" s="23"/>
      <c r="L11" s="23"/>
    </row>
    <row r="12" spans="1:18" ht="21" x14ac:dyDescent="0.4">
      <c r="A12" s="53" t="s">
        <v>40</v>
      </c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</row>
  </sheetData>
  <mergeCells count="3">
    <mergeCell ref="A9:L9"/>
    <mergeCell ref="A12:L12"/>
    <mergeCell ref="A1:R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3"/>
  <sheetViews>
    <sheetView workbookViewId="0">
      <selection sqref="A1:XFD1"/>
    </sheetView>
  </sheetViews>
  <sheetFormatPr defaultRowHeight="14.4" x14ac:dyDescent="0.3"/>
  <cols>
    <col min="2" max="2" width="19.109375" customWidth="1"/>
    <col min="7" max="7" width="18.109375" customWidth="1"/>
  </cols>
  <sheetData>
    <row r="1" spans="1:12" s="59" customFormat="1" ht="15.6" x14ac:dyDescent="0.3">
      <c r="A1" s="56" t="s">
        <v>41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</row>
    <row r="3" spans="1:12" x14ac:dyDescent="0.3">
      <c r="A3" s="28" t="s">
        <v>42</v>
      </c>
      <c r="B3" s="28" t="s">
        <v>43</v>
      </c>
      <c r="C3" s="28" t="s">
        <v>44</v>
      </c>
      <c r="D3" s="28" t="s">
        <v>45</v>
      </c>
      <c r="E3" s="28" t="s">
        <v>46</v>
      </c>
      <c r="F3" s="28" t="s">
        <v>47</v>
      </c>
      <c r="G3" s="28" t="s">
        <v>48</v>
      </c>
      <c r="H3" s="27"/>
      <c r="I3" s="27"/>
      <c r="J3" s="27"/>
      <c r="K3" s="27"/>
      <c r="L3" s="27"/>
    </row>
    <row r="4" spans="1:12" x14ac:dyDescent="0.3">
      <c r="A4" s="29">
        <v>1001</v>
      </c>
      <c r="B4" s="30" t="s">
        <v>49</v>
      </c>
      <c r="C4" s="30" t="s">
        <v>50</v>
      </c>
      <c r="D4" s="30" t="s">
        <v>51</v>
      </c>
      <c r="E4" s="29">
        <v>10</v>
      </c>
      <c r="F4" s="29">
        <v>50</v>
      </c>
      <c r="G4" s="31">
        <v>45413</v>
      </c>
      <c r="H4" s="27"/>
      <c r="I4" s="27"/>
      <c r="J4" s="3" t="s">
        <v>3</v>
      </c>
      <c r="K4" s="5">
        <f>COUNTA(B4:B53)</f>
        <v>50</v>
      </c>
      <c r="L4" s="27"/>
    </row>
    <row r="5" spans="1:12" x14ac:dyDescent="0.3">
      <c r="A5" s="29">
        <v>1002</v>
      </c>
      <c r="B5" s="30" t="s">
        <v>52</v>
      </c>
      <c r="C5" s="30" t="s">
        <v>53</v>
      </c>
      <c r="D5" s="30" t="s">
        <v>54</v>
      </c>
      <c r="E5" s="29">
        <v>20</v>
      </c>
      <c r="F5" s="29">
        <v>10</v>
      </c>
      <c r="G5" s="31">
        <v>45444</v>
      </c>
      <c r="H5" s="27"/>
      <c r="I5" s="32"/>
      <c r="J5" s="33" t="s">
        <v>134</v>
      </c>
      <c r="K5" s="33"/>
      <c r="L5" s="34"/>
    </row>
    <row r="6" spans="1:12" x14ac:dyDescent="0.3">
      <c r="A6" s="29">
        <v>1003</v>
      </c>
      <c r="B6" s="30" t="s">
        <v>55</v>
      </c>
      <c r="C6" s="30" t="s">
        <v>56</v>
      </c>
      <c r="D6" s="30" t="s">
        <v>57</v>
      </c>
      <c r="E6" s="29">
        <v>15</v>
      </c>
      <c r="F6" s="29">
        <v>25</v>
      </c>
      <c r="G6" s="31">
        <v>45474</v>
      </c>
      <c r="H6" s="27"/>
      <c r="I6" s="27"/>
      <c r="J6" s="27"/>
      <c r="K6" s="27"/>
      <c r="L6" s="27"/>
    </row>
    <row r="7" spans="1:12" x14ac:dyDescent="0.3">
      <c r="A7" s="29">
        <v>1004</v>
      </c>
      <c r="B7" s="30" t="s">
        <v>58</v>
      </c>
      <c r="C7" s="30" t="s">
        <v>59</v>
      </c>
      <c r="D7" s="30" t="s">
        <v>51</v>
      </c>
      <c r="E7" s="29">
        <v>5</v>
      </c>
      <c r="F7" s="29">
        <v>50</v>
      </c>
      <c r="G7" s="31">
        <v>45505</v>
      </c>
      <c r="H7" s="27"/>
      <c r="I7" s="27"/>
      <c r="J7" s="27"/>
      <c r="K7" s="27"/>
      <c r="L7" s="27"/>
    </row>
    <row r="8" spans="1:12" x14ac:dyDescent="0.3">
      <c r="A8" s="29">
        <v>1005</v>
      </c>
      <c r="B8" s="30" t="s">
        <v>60</v>
      </c>
      <c r="C8" s="30" t="s">
        <v>50</v>
      </c>
      <c r="D8" s="30" t="s">
        <v>61</v>
      </c>
      <c r="E8" s="29">
        <v>30</v>
      </c>
      <c r="F8" s="29">
        <v>5</v>
      </c>
      <c r="G8" s="31">
        <v>45566</v>
      </c>
      <c r="H8" s="27"/>
      <c r="I8" s="27"/>
      <c r="J8" s="27"/>
      <c r="K8" s="27"/>
      <c r="L8" s="27"/>
    </row>
    <row r="9" spans="1:12" x14ac:dyDescent="0.3">
      <c r="A9" s="29">
        <v>1006</v>
      </c>
      <c r="B9" s="30" t="s">
        <v>62</v>
      </c>
      <c r="C9" s="30" t="s">
        <v>53</v>
      </c>
      <c r="D9" s="30" t="s">
        <v>51</v>
      </c>
      <c r="E9" s="29">
        <v>12</v>
      </c>
      <c r="F9" s="29">
        <v>50</v>
      </c>
      <c r="G9" s="31">
        <v>45597</v>
      </c>
      <c r="H9" s="27"/>
      <c r="I9" s="27"/>
      <c r="J9" s="27"/>
      <c r="K9" s="27"/>
      <c r="L9" s="27"/>
    </row>
    <row r="10" spans="1:12" x14ac:dyDescent="0.3">
      <c r="A10" s="29">
        <v>1007</v>
      </c>
      <c r="B10" s="30" t="s">
        <v>63</v>
      </c>
      <c r="C10" s="30" t="s">
        <v>56</v>
      </c>
      <c r="D10" s="30" t="s">
        <v>64</v>
      </c>
      <c r="E10" s="29">
        <v>25</v>
      </c>
      <c r="F10" s="29">
        <v>8</v>
      </c>
      <c r="G10" s="29" t="s">
        <v>65</v>
      </c>
      <c r="H10" s="27"/>
      <c r="I10" s="27"/>
      <c r="J10" s="27"/>
      <c r="K10" s="27"/>
      <c r="L10" s="27"/>
    </row>
    <row r="11" spans="1:12" x14ac:dyDescent="0.3">
      <c r="A11" s="29">
        <v>1008</v>
      </c>
      <c r="B11" s="30" t="s">
        <v>66</v>
      </c>
      <c r="C11" s="30" t="s">
        <v>59</v>
      </c>
      <c r="D11" s="30" t="s">
        <v>54</v>
      </c>
      <c r="E11" s="29">
        <v>18</v>
      </c>
      <c r="F11" s="29">
        <v>10</v>
      </c>
      <c r="G11" s="29" t="s">
        <v>67</v>
      </c>
      <c r="H11" s="27"/>
      <c r="I11" s="27"/>
      <c r="J11" s="27"/>
      <c r="K11" s="27"/>
      <c r="L11" s="27"/>
    </row>
    <row r="12" spans="1:12" x14ac:dyDescent="0.3">
      <c r="A12" s="29">
        <v>1009</v>
      </c>
      <c r="B12" s="30" t="s">
        <v>68</v>
      </c>
      <c r="C12" s="30" t="s">
        <v>50</v>
      </c>
      <c r="D12" s="30" t="s">
        <v>57</v>
      </c>
      <c r="E12" s="29">
        <v>22</v>
      </c>
      <c r="F12" s="29">
        <v>25</v>
      </c>
      <c r="G12" s="29" t="s">
        <v>69</v>
      </c>
      <c r="H12" s="27"/>
      <c r="I12" s="27"/>
      <c r="J12" s="27"/>
      <c r="K12" s="27"/>
      <c r="L12" s="27"/>
    </row>
    <row r="13" spans="1:12" x14ac:dyDescent="0.3">
      <c r="A13" s="29">
        <v>1010</v>
      </c>
      <c r="B13" s="30" t="s">
        <v>70</v>
      </c>
      <c r="C13" s="30" t="s">
        <v>53</v>
      </c>
      <c r="D13" s="30" t="s">
        <v>51</v>
      </c>
      <c r="E13" s="29">
        <v>8</v>
      </c>
      <c r="F13" s="29">
        <v>50</v>
      </c>
      <c r="G13" s="29" t="s">
        <v>71</v>
      </c>
      <c r="H13" s="27"/>
      <c r="I13" s="27"/>
      <c r="J13" s="27"/>
      <c r="K13" s="27"/>
      <c r="L13" s="27"/>
    </row>
    <row r="14" spans="1:12" x14ac:dyDescent="0.3">
      <c r="A14" s="29">
        <v>1011</v>
      </c>
      <c r="B14" s="30" t="s">
        <v>72</v>
      </c>
      <c r="C14" s="30" t="s">
        <v>56</v>
      </c>
      <c r="D14" s="30" t="s">
        <v>61</v>
      </c>
      <c r="E14" s="29">
        <v>40</v>
      </c>
      <c r="F14" s="29">
        <v>5</v>
      </c>
      <c r="G14" s="29" t="s">
        <v>73</v>
      </c>
      <c r="H14" s="27"/>
      <c r="I14" s="27"/>
      <c r="J14" s="27"/>
      <c r="K14" s="27"/>
      <c r="L14" s="27"/>
    </row>
    <row r="15" spans="1:12" x14ac:dyDescent="0.3">
      <c r="A15" s="29">
        <v>1012</v>
      </c>
      <c r="B15" s="30" t="s">
        <v>74</v>
      </c>
      <c r="C15" s="30" t="s">
        <v>59</v>
      </c>
      <c r="D15" s="30" t="s">
        <v>64</v>
      </c>
      <c r="E15" s="29">
        <v>35</v>
      </c>
      <c r="F15" s="29">
        <v>8</v>
      </c>
      <c r="G15" s="29" t="s">
        <v>75</v>
      </c>
    </row>
    <row r="16" spans="1:12" x14ac:dyDescent="0.3">
      <c r="A16" s="29">
        <v>1013</v>
      </c>
      <c r="B16" s="30" t="s">
        <v>76</v>
      </c>
      <c r="C16" s="30" t="s">
        <v>50</v>
      </c>
      <c r="D16" s="30" t="s">
        <v>51</v>
      </c>
      <c r="E16" s="29">
        <v>14</v>
      </c>
      <c r="F16" s="29">
        <v>50</v>
      </c>
      <c r="G16" s="29" t="s">
        <v>77</v>
      </c>
    </row>
    <row r="17" spans="1:7" x14ac:dyDescent="0.3">
      <c r="A17" s="29">
        <v>1014</v>
      </c>
      <c r="B17" s="30" t="s">
        <v>78</v>
      </c>
      <c r="C17" s="30" t="s">
        <v>53</v>
      </c>
      <c r="D17" s="30" t="s">
        <v>54</v>
      </c>
      <c r="E17" s="29">
        <v>28</v>
      </c>
      <c r="F17" s="29">
        <v>10</v>
      </c>
      <c r="G17" s="29" t="s">
        <v>79</v>
      </c>
    </row>
    <row r="18" spans="1:7" x14ac:dyDescent="0.3">
      <c r="A18" s="29">
        <v>1015</v>
      </c>
      <c r="B18" s="30" t="s">
        <v>80</v>
      </c>
      <c r="C18" s="30" t="s">
        <v>56</v>
      </c>
      <c r="D18" s="30" t="s">
        <v>57</v>
      </c>
      <c r="E18" s="29">
        <v>12</v>
      </c>
      <c r="F18" s="29">
        <v>25</v>
      </c>
      <c r="G18" s="29" t="s">
        <v>81</v>
      </c>
    </row>
    <row r="19" spans="1:7" x14ac:dyDescent="0.3">
      <c r="A19" s="29">
        <v>1016</v>
      </c>
      <c r="B19" s="30" t="s">
        <v>82</v>
      </c>
      <c r="C19" s="30" t="s">
        <v>59</v>
      </c>
      <c r="D19" s="30" t="s">
        <v>61</v>
      </c>
      <c r="E19" s="29">
        <v>25</v>
      </c>
      <c r="F19" s="29">
        <v>5</v>
      </c>
      <c r="G19" s="29" t="s">
        <v>83</v>
      </c>
    </row>
    <row r="20" spans="1:7" x14ac:dyDescent="0.3">
      <c r="A20" s="29">
        <v>1017</v>
      </c>
      <c r="B20" s="30" t="s">
        <v>84</v>
      </c>
      <c r="C20" s="30" t="s">
        <v>50</v>
      </c>
      <c r="D20" s="30" t="s">
        <v>64</v>
      </c>
      <c r="E20" s="29">
        <v>20</v>
      </c>
      <c r="F20" s="29">
        <v>8</v>
      </c>
      <c r="G20" s="29" t="s">
        <v>85</v>
      </c>
    </row>
    <row r="21" spans="1:7" x14ac:dyDescent="0.3">
      <c r="A21" s="29">
        <v>1018</v>
      </c>
      <c r="B21" s="30" t="s">
        <v>86</v>
      </c>
      <c r="C21" s="30" t="s">
        <v>53</v>
      </c>
      <c r="D21" s="30" t="s">
        <v>51</v>
      </c>
      <c r="E21" s="29">
        <v>10</v>
      </c>
      <c r="F21" s="29">
        <v>50</v>
      </c>
      <c r="G21" s="29" t="s">
        <v>87</v>
      </c>
    </row>
    <row r="22" spans="1:7" x14ac:dyDescent="0.3">
      <c r="A22" s="29">
        <v>1019</v>
      </c>
      <c r="B22" s="30" t="s">
        <v>88</v>
      </c>
      <c r="C22" s="30" t="s">
        <v>56</v>
      </c>
      <c r="D22" s="30" t="s">
        <v>54</v>
      </c>
      <c r="E22" s="29">
        <v>15</v>
      </c>
      <c r="F22" s="29">
        <v>10</v>
      </c>
      <c r="G22" s="29" t="s">
        <v>89</v>
      </c>
    </row>
    <row r="23" spans="1:7" x14ac:dyDescent="0.3">
      <c r="A23" s="29">
        <v>1020</v>
      </c>
      <c r="B23" s="30" t="s">
        <v>90</v>
      </c>
      <c r="C23" s="30" t="s">
        <v>59</v>
      </c>
      <c r="D23" s="30" t="s">
        <v>57</v>
      </c>
      <c r="E23" s="29">
        <v>18</v>
      </c>
      <c r="F23" s="29">
        <v>25</v>
      </c>
      <c r="G23" s="31">
        <v>45293</v>
      </c>
    </row>
    <row r="24" spans="1:7" x14ac:dyDescent="0.3">
      <c r="A24" s="29">
        <v>1021</v>
      </c>
      <c r="B24" s="30" t="s">
        <v>91</v>
      </c>
      <c r="C24" s="30" t="s">
        <v>50</v>
      </c>
      <c r="D24" s="30" t="s">
        <v>51</v>
      </c>
      <c r="E24" s="29">
        <v>9</v>
      </c>
      <c r="F24" s="29">
        <v>50</v>
      </c>
      <c r="G24" s="31">
        <v>45324</v>
      </c>
    </row>
    <row r="25" spans="1:7" x14ac:dyDescent="0.3">
      <c r="A25" s="29">
        <v>1022</v>
      </c>
      <c r="B25" s="30" t="s">
        <v>92</v>
      </c>
      <c r="C25" s="30" t="s">
        <v>53</v>
      </c>
      <c r="D25" s="30" t="s">
        <v>61</v>
      </c>
      <c r="E25" s="29">
        <v>35</v>
      </c>
      <c r="F25" s="29">
        <v>5</v>
      </c>
      <c r="G25" s="31">
        <v>45353</v>
      </c>
    </row>
    <row r="26" spans="1:7" x14ac:dyDescent="0.3">
      <c r="A26" s="29">
        <v>1023</v>
      </c>
      <c r="B26" s="30" t="s">
        <v>93</v>
      </c>
      <c r="C26" s="30" t="s">
        <v>56</v>
      </c>
      <c r="D26" s="30" t="s">
        <v>64</v>
      </c>
      <c r="E26" s="29">
        <v>30</v>
      </c>
      <c r="F26" s="29">
        <v>8</v>
      </c>
      <c r="G26" s="31">
        <v>45384</v>
      </c>
    </row>
    <row r="27" spans="1:7" x14ac:dyDescent="0.3">
      <c r="A27" s="29">
        <v>1024</v>
      </c>
      <c r="B27" s="30" t="s">
        <v>94</v>
      </c>
      <c r="C27" s="30" t="s">
        <v>59</v>
      </c>
      <c r="D27" s="30" t="s">
        <v>51</v>
      </c>
      <c r="E27" s="29">
        <v>11</v>
      </c>
      <c r="F27" s="29">
        <v>50</v>
      </c>
      <c r="G27" s="31">
        <v>45445</v>
      </c>
    </row>
    <row r="28" spans="1:7" x14ac:dyDescent="0.3">
      <c r="A28" s="29">
        <v>1025</v>
      </c>
      <c r="B28" s="30" t="s">
        <v>95</v>
      </c>
      <c r="C28" s="30" t="s">
        <v>50</v>
      </c>
      <c r="D28" s="30" t="s">
        <v>54</v>
      </c>
      <c r="E28" s="29">
        <v>14</v>
      </c>
      <c r="F28" s="29">
        <v>10</v>
      </c>
      <c r="G28" s="31">
        <v>45475</v>
      </c>
    </row>
    <row r="29" spans="1:7" x14ac:dyDescent="0.3">
      <c r="A29" s="29">
        <v>1026</v>
      </c>
      <c r="B29" s="30" t="s">
        <v>96</v>
      </c>
      <c r="C29" s="30" t="s">
        <v>53</v>
      </c>
      <c r="D29" s="30" t="s">
        <v>57</v>
      </c>
      <c r="E29" s="29">
        <v>16</v>
      </c>
      <c r="F29" s="29">
        <v>25</v>
      </c>
      <c r="G29" s="31">
        <v>45506</v>
      </c>
    </row>
    <row r="30" spans="1:7" x14ac:dyDescent="0.3">
      <c r="A30" s="29">
        <v>1027</v>
      </c>
      <c r="B30" s="30" t="s">
        <v>97</v>
      </c>
      <c r="C30" s="30" t="s">
        <v>56</v>
      </c>
      <c r="D30" s="30" t="s">
        <v>61</v>
      </c>
      <c r="E30" s="29">
        <v>22</v>
      </c>
      <c r="F30" s="29">
        <v>5</v>
      </c>
      <c r="G30" s="31">
        <v>45537</v>
      </c>
    </row>
    <row r="31" spans="1:7" x14ac:dyDescent="0.3">
      <c r="A31" s="29">
        <v>1028</v>
      </c>
      <c r="B31" s="30" t="s">
        <v>98</v>
      </c>
      <c r="C31" s="30" t="s">
        <v>59</v>
      </c>
      <c r="D31" s="30" t="s">
        <v>64</v>
      </c>
      <c r="E31" s="29">
        <v>27</v>
      </c>
      <c r="F31" s="29">
        <v>8</v>
      </c>
      <c r="G31" s="31">
        <v>45567</v>
      </c>
    </row>
    <row r="32" spans="1:7" x14ac:dyDescent="0.3">
      <c r="A32" s="29">
        <v>1029</v>
      </c>
      <c r="B32" s="30" t="s">
        <v>99</v>
      </c>
      <c r="C32" s="30" t="s">
        <v>50</v>
      </c>
      <c r="D32" s="30" t="s">
        <v>51</v>
      </c>
      <c r="E32" s="29">
        <v>13</v>
      </c>
      <c r="F32" s="29">
        <v>50</v>
      </c>
      <c r="G32" s="31">
        <v>45628</v>
      </c>
    </row>
    <row r="33" spans="1:7" x14ac:dyDescent="0.3">
      <c r="A33" s="29">
        <v>1030</v>
      </c>
      <c r="B33" s="30" t="s">
        <v>100</v>
      </c>
      <c r="C33" s="30" t="s">
        <v>53</v>
      </c>
      <c r="D33" s="30" t="s">
        <v>54</v>
      </c>
      <c r="E33" s="29">
        <v>32</v>
      </c>
      <c r="F33" s="29">
        <v>10</v>
      </c>
      <c r="G33" s="29" t="s">
        <v>101</v>
      </c>
    </row>
    <row r="34" spans="1:7" x14ac:dyDescent="0.3">
      <c r="A34" s="29">
        <v>1031</v>
      </c>
      <c r="B34" s="30" t="s">
        <v>102</v>
      </c>
      <c r="C34" s="30" t="s">
        <v>56</v>
      </c>
      <c r="D34" s="30" t="s">
        <v>57</v>
      </c>
      <c r="E34" s="29">
        <v>10</v>
      </c>
      <c r="F34" s="29">
        <v>25</v>
      </c>
      <c r="G34" s="29" t="s">
        <v>103</v>
      </c>
    </row>
    <row r="35" spans="1:7" x14ac:dyDescent="0.3">
      <c r="A35" s="29">
        <v>1032</v>
      </c>
      <c r="B35" s="30" t="s">
        <v>104</v>
      </c>
      <c r="C35" s="30" t="s">
        <v>59</v>
      </c>
      <c r="D35" s="30" t="s">
        <v>61</v>
      </c>
      <c r="E35" s="29">
        <v>18</v>
      </c>
      <c r="F35" s="29">
        <v>5</v>
      </c>
      <c r="G35" s="29" t="s">
        <v>105</v>
      </c>
    </row>
    <row r="36" spans="1:7" x14ac:dyDescent="0.3">
      <c r="A36" s="29">
        <v>1033</v>
      </c>
      <c r="B36" s="30" t="s">
        <v>106</v>
      </c>
      <c r="C36" s="30" t="s">
        <v>50</v>
      </c>
      <c r="D36" s="30" t="s">
        <v>64</v>
      </c>
      <c r="E36" s="29">
        <v>22</v>
      </c>
      <c r="F36" s="29">
        <v>8</v>
      </c>
      <c r="G36" s="29" t="s">
        <v>107</v>
      </c>
    </row>
    <row r="37" spans="1:7" x14ac:dyDescent="0.3">
      <c r="A37" s="29">
        <v>1034</v>
      </c>
      <c r="B37" s="30" t="s">
        <v>108</v>
      </c>
      <c r="C37" s="30" t="s">
        <v>53</v>
      </c>
      <c r="D37" s="30" t="s">
        <v>51</v>
      </c>
      <c r="E37" s="29">
        <v>17</v>
      </c>
      <c r="F37" s="29">
        <v>50</v>
      </c>
      <c r="G37" s="29" t="s">
        <v>109</v>
      </c>
    </row>
    <row r="38" spans="1:7" x14ac:dyDescent="0.3">
      <c r="A38" s="29">
        <v>1035</v>
      </c>
      <c r="B38" s="30" t="s">
        <v>110</v>
      </c>
      <c r="C38" s="30" t="s">
        <v>56</v>
      </c>
      <c r="D38" s="30" t="s">
        <v>54</v>
      </c>
      <c r="E38" s="29">
        <v>19</v>
      </c>
      <c r="F38" s="29">
        <v>10</v>
      </c>
      <c r="G38" s="29" t="s">
        <v>111</v>
      </c>
    </row>
    <row r="39" spans="1:7" x14ac:dyDescent="0.3">
      <c r="A39" s="29">
        <v>1036</v>
      </c>
      <c r="B39" s="30" t="s">
        <v>112</v>
      </c>
      <c r="C39" s="30" t="s">
        <v>59</v>
      </c>
      <c r="D39" s="30" t="s">
        <v>57</v>
      </c>
      <c r="E39" s="29">
        <v>15</v>
      </c>
      <c r="F39" s="29">
        <v>25</v>
      </c>
      <c r="G39" s="29" t="s">
        <v>113</v>
      </c>
    </row>
    <row r="40" spans="1:7" x14ac:dyDescent="0.3">
      <c r="A40" s="29">
        <v>1037</v>
      </c>
      <c r="B40" s="30" t="s">
        <v>114</v>
      </c>
      <c r="C40" s="30" t="s">
        <v>50</v>
      </c>
      <c r="D40" s="30" t="s">
        <v>61</v>
      </c>
      <c r="E40" s="29">
        <v>28</v>
      </c>
      <c r="F40" s="29">
        <v>5</v>
      </c>
      <c r="G40" s="29" t="s">
        <v>115</v>
      </c>
    </row>
    <row r="41" spans="1:7" x14ac:dyDescent="0.3">
      <c r="A41" s="29">
        <v>1038</v>
      </c>
      <c r="B41" s="30" t="s">
        <v>116</v>
      </c>
      <c r="C41" s="30" t="s">
        <v>53</v>
      </c>
      <c r="D41" s="30" t="s">
        <v>64</v>
      </c>
      <c r="E41" s="29">
        <v>24</v>
      </c>
      <c r="F41" s="29">
        <v>8</v>
      </c>
      <c r="G41" s="29" t="s">
        <v>117</v>
      </c>
    </row>
    <row r="42" spans="1:7" x14ac:dyDescent="0.3">
      <c r="A42" s="29">
        <v>1039</v>
      </c>
      <c r="B42" s="30" t="s">
        <v>118</v>
      </c>
      <c r="C42" s="30" t="s">
        <v>56</v>
      </c>
      <c r="D42" s="30" t="s">
        <v>51</v>
      </c>
      <c r="E42" s="29">
        <v>16</v>
      </c>
      <c r="F42" s="29">
        <v>50</v>
      </c>
      <c r="G42" s="29" t="s">
        <v>119</v>
      </c>
    </row>
    <row r="43" spans="1:7" x14ac:dyDescent="0.3">
      <c r="A43" s="29">
        <v>1040</v>
      </c>
      <c r="B43" s="30" t="s">
        <v>120</v>
      </c>
      <c r="C43" s="30" t="s">
        <v>59</v>
      </c>
      <c r="D43" s="30" t="s">
        <v>54</v>
      </c>
      <c r="E43" s="29">
        <v>27</v>
      </c>
      <c r="F43" s="29">
        <v>10</v>
      </c>
      <c r="G43" s="29" t="s">
        <v>121</v>
      </c>
    </row>
    <row r="44" spans="1:7" x14ac:dyDescent="0.3">
      <c r="A44" s="29">
        <v>1041</v>
      </c>
      <c r="B44" s="30" t="s">
        <v>122</v>
      </c>
      <c r="C44" s="30" t="s">
        <v>50</v>
      </c>
      <c r="D44" s="30" t="s">
        <v>57</v>
      </c>
      <c r="E44" s="29">
        <v>21</v>
      </c>
      <c r="F44" s="29">
        <v>25</v>
      </c>
      <c r="G44" s="29" t="s">
        <v>123</v>
      </c>
    </row>
    <row r="45" spans="1:7" x14ac:dyDescent="0.3">
      <c r="A45" s="29">
        <v>1042</v>
      </c>
      <c r="B45" s="30" t="s">
        <v>124</v>
      </c>
      <c r="C45" s="30" t="s">
        <v>53</v>
      </c>
      <c r="D45" s="30" t="s">
        <v>61</v>
      </c>
      <c r="E45" s="29">
        <v>30</v>
      </c>
      <c r="F45" s="29">
        <v>5</v>
      </c>
      <c r="G45" s="29" t="s">
        <v>125</v>
      </c>
    </row>
    <row r="46" spans="1:7" x14ac:dyDescent="0.3">
      <c r="A46" s="29">
        <v>1043</v>
      </c>
      <c r="B46" s="30" t="s">
        <v>126</v>
      </c>
      <c r="C46" s="30" t="s">
        <v>56</v>
      </c>
      <c r="D46" s="30" t="s">
        <v>64</v>
      </c>
      <c r="E46" s="29">
        <v>26</v>
      </c>
      <c r="F46" s="29">
        <v>8</v>
      </c>
      <c r="G46" s="31">
        <v>45294</v>
      </c>
    </row>
    <row r="47" spans="1:7" x14ac:dyDescent="0.3">
      <c r="A47" s="29">
        <v>1044</v>
      </c>
      <c r="B47" s="30" t="s">
        <v>127</v>
      </c>
      <c r="C47" s="30" t="s">
        <v>59</v>
      </c>
      <c r="D47" s="30" t="s">
        <v>51</v>
      </c>
      <c r="E47" s="29">
        <v>14</v>
      </c>
      <c r="F47" s="29">
        <v>50</v>
      </c>
      <c r="G47" s="31">
        <v>45325</v>
      </c>
    </row>
    <row r="48" spans="1:7" x14ac:dyDescent="0.3">
      <c r="A48" s="29">
        <v>1045</v>
      </c>
      <c r="B48" s="30" t="s">
        <v>128</v>
      </c>
      <c r="C48" s="30" t="s">
        <v>50</v>
      </c>
      <c r="D48" s="30" t="s">
        <v>54</v>
      </c>
      <c r="E48" s="29">
        <v>20</v>
      </c>
      <c r="F48" s="29">
        <v>10</v>
      </c>
      <c r="G48" s="31">
        <v>45354</v>
      </c>
    </row>
    <row r="49" spans="1:7" x14ac:dyDescent="0.3">
      <c r="A49" s="29">
        <v>1046</v>
      </c>
      <c r="B49" s="30" t="s">
        <v>129</v>
      </c>
      <c r="C49" s="30" t="s">
        <v>53</v>
      </c>
      <c r="D49" s="30" t="s">
        <v>57</v>
      </c>
      <c r="E49" s="29">
        <v>17</v>
      </c>
      <c r="F49" s="29">
        <v>25</v>
      </c>
      <c r="G49" s="31">
        <v>45385</v>
      </c>
    </row>
    <row r="50" spans="1:7" x14ac:dyDescent="0.3">
      <c r="A50" s="29">
        <v>1047</v>
      </c>
      <c r="B50" s="30" t="s">
        <v>130</v>
      </c>
      <c r="C50" s="30" t="s">
        <v>56</v>
      </c>
      <c r="D50" s="30" t="s">
        <v>61</v>
      </c>
      <c r="E50" s="29">
        <v>19</v>
      </c>
      <c r="F50" s="29">
        <v>5</v>
      </c>
      <c r="G50" s="31">
        <v>45415</v>
      </c>
    </row>
    <row r="51" spans="1:7" x14ac:dyDescent="0.3">
      <c r="A51" s="29">
        <v>1048</v>
      </c>
      <c r="B51" s="30" t="s">
        <v>131</v>
      </c>
      <c r="C51" s="30" t="s">
        <v>59</v>
      </c>
      <c r="D51" s="30" t="s">
        <v>64</v>
      </c>
      <c r="E51" s="29">
        <v>32</v>
      </c>
      <c r="F51" s="29">
        <v>8</v>
      </c>
      <c r="G51" s="31">
        <v>45446</v>
      </c>
    </row>
    <row r="52" spans="1:7" x14ac:dyDescent="0.3">
      <c r="A52" s="29">
        <v>1049</v>
      </c>
      <c r="B52" s="30" t="s">
        <v>132</v>
      </c>
      <c r="C52" s="30" t="s">
        <v>50</v>
      </c>
      <c r="D52" s="30" t="s">
        <v>51</v>
      </c>
      <c r="E52" s="29">
        <v>12</v>
      </c>
      <c r="F52" s="29">
        <v>50</v>
      </c>
      <c r="G52" s="31">
        <v>45476</v>
      </c>
    </row>
    <row r="53" spans="1:7" x14ac:dyDescent="0.3">
      <c r="A53" s="29">
        <v>1050</v>
      </c>
      <c r="B53" s="30" t="s">
        <v>133</v>
      </c>
      <c r="C53" s="30" t="s">
        <v>53</v>
      </c>
      <c r="D53" s="30" t="s">
        <v>54</v>
      </c>
      <c r="E53" s="29">
        <v>25</v>
      </c>
      <c r="F53" s="29">
        <v>10</v>
      </c>
      <c r="G53" s="31">
        <v>45507</v>
      </c>
    </row>
  </sheetData>
  <mergeCells count="1">
    <mergeCell ref="A1:L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8"/>
  <sheetViews>
    <sheetView workbookViewId="0">
      <selection sqref="A1:J1"/>
    </sheetView>
  </sheetViews>
  <sheetFormatPr defaultRowHeight="14.4" x14ac:dyDescent="0.3"/>
  <cols>
    <col min="2" max="2" width="18.88671875" customWidth="1"/>
    <col min="7" max="7" width="27.6640625" customWidth="1"/>
    <col min="11" max="11" width="15.109375" customWidth="1"/>
    <col min="14" max="14" width="27.88671875" customWidth="1"/>
  </cols>
  <sheetData>
    <row r="1" spans="1:14" s="59" customFormat="1" ht="15.6" x14ac:dyDescent="0.3">
      <c r="A1" s="56" t="s">
        <v>135</v>
      </c>
      <c r="B1" s="56"/>
      <c r="C1" s="56"/>
      <c r="D1" s="56"/>
      <c r="E1" s="56"/>
      <c r="F1" s="56"/>
      <c r="G1" s="56"/>
      <c r="H1" s="56"/>
      <c r="I1" s="56"/>
      <c r="J1" s="56"/>
    </row>
    <row r="3" spans="1:14" x14ac:dyDescent="0.3">
      <c r="A3" s="28" t="s">
        <v>42</v>
      </c>
      <c r="B3" s="28" t="s">
        <v>43</v>
      </c>
      <c r="C3" s="28" t="s">
        <v>44</v>
      </c>
      <c r="D3" s="28" t="s">
        <v>45</v>
      </c>
      <c r="E3" s="28" t="s">
        <v>46</v>
      </c>
      <c r="F3" s="28" t="s">
        <v>47</v>
      </c>
      <c r="G3" s="28" t="s">
        <v>48</v>
      </c>
      <c r="H3" s="35"/>
      <c r="J3" s="36" t="s">
        <v>136</v>
      </c>
      <c r="K3" s="22" t="s">
        <v>137</v>
      </c>
    </row>
    <row r="4" spans="1:14" x14ac:dyDescent="0.3">
      <c r="A4" s="29">
        <v>1001</v>
      </c>
      <c r="B4" s="30" t="s">
        <v>49</v>
      </c>
      <c r="C4" s="30" t="s">
        <v>50</v>
      </c>
      <c r="D4" s="30" t="s">
        <v>51</v>
      </c>
      <c r="E4" s="29">
        <v>10</v>
      </c>
      <c r="F4" s="29">
        <v>50</v>
      </c>
      <c r="G4" s="31">
        <v>45413</v>
      </c>
      <c r="H4" s="35"/>
      <c r="K4">
        <f>PRODUCT(E4,F4)</f>
        <v>500</v>
      </c>
      <c r="L4" s="35"/>
    </row>
    <row r="5" spans="1:14" x14ac:dyDescent="0.3">
      <c r="A5" s="29">
        <v>1002</v>
      </c>
      <c r="B5" s="30" t="s">
        <v>52</v>
      </c>
      <c r="C5" s="30" t="s">
        <v>53</v>
      </c>
      <c r="D5" s="30" t="s">
        <v>54</v>
      </c>
      <c r="E5" s="29">
        <v>20</v>
      </c>
      <c r="F5" s="29">
        <v>10</v>
      </c>
      <c r="G5" s="31">
        <v>45444</v>
      </c>
      <c r="H5" s="35"/>
      <c r="K5" s="35">
        <f t="shared" ref="K5:K53" si="0">PRODUCT(E5,F5)</f>
        <v>200</v>
      </c>
    </row>
    <row r="6" spans="1:14" x14ac:dyDescent="0.3">
      <c r="A6" s="29">
        <v>1003</v>
      </c>
      <c r="B6" s="30" t="s">
        <v>55</v>
      </c>
      <c r="C6" s="30" t="s">
        <v>56</v>
      </c>
      <c r="D6" s="30" t="s">
        <v>57</v>
      </c>
      <c r="E6" s="29">
        <v>15</v>
      </c>
      <c r="F6" s="29">
        <v>25</v>
      </c>
      <c r="G6" s="31">
        <v>45474</v>
      </c>
      <c r="H6" s="35"/>
      <c r="K6" s="35">
        <f t="shared" si="0"/>
        <v>375</v>
      </c>
    </row>
    <row r="7" spans="1:14" x14ac:dyDescent="0.3">
      <c r="A7" s="29">
        <v>1004</v>
      </c>
      <c r="B7" s="30" t="s">
        <v>58</v>
      </c>
      <c r="C7" s="30" t="s">
        <v>59</v>
      </c>
      <c r="D7" s="30" t="s">
        <v>51</v>
      </c>
      <c r="E7" s="29">
        <v>5</v>
      </c>
      <c r="F7" s="29">
        <v>50</v>
      </c>
      <c r="G7" s="31">
        <v>45505</v>
      </c>
      <c r="H7" s="35"/>
      <c r="I7" s="35"/>
      <c r="J7" s="35"/>
      <c r="K7" s="35">
        <f t="shared" si="0"/>
        <v>250</v>
      </c>
      <c r="L7" s="35"/>
    </row>
    <row r="8" spans="1:14" x14ac:dyDescent="0.3">
      <c r="A8" s="29">
        <v>1005</v>
      </c>
      <c r="B8" s="30" t="s">
        <v>60</v>
      </c>
      <c r="C8" s="30" t="s">
        <v>50</v>
      </c>
      <c r="D8" s="30" t="s">
        <v>61</v>
      </c>
      <c r="E8" s="29">
        <v>30</v>
      </c>
      <c r="F8" s="29">
        <v>5</v>
      </c>
      <c r="G8" s="31">
        <v>45566</v>
      </c>
      <c r="H8" s="35"/>
      <c r="K8" s="35">
        <f t="shared" si="0"/>
        <v>150</v>
      </c>
      <c r="L8" s="35"/>
    </row>
    <row r="9" spans="1:14" x14ac:dyDescent="0.3">
      <c r="A9" s="29">
        <v>1006</v>
      </c>
      <c r="B9" s="30" t="s">
        <v>62</v>
      </c>
      <c r="C9" s="30" t="s">
        <v>53</v>
      </c>
      <c r="D9" s="30" t="s">
        <v>51</v>
      </c>
      <c r="E9" s="29">
        <v>12</v>
      </c>
      <c r="F9" s="29">
        <v>50</v>
      </c>
      <c r="G9" s="31">
        <v>45597</v>
      </c>
      <c r="H9" s="35"/>
      <c r="K9" s="35">
        <f t="shared" si="0"/>
        <v>600</v>
      </c>
      <c r="L9" s="35"/>
    </row>
    <row r="10" spans="1:14" x14ac:dyDescent="0.3">
      <c r="A10" s="29">
        <v>1007</v>
      </c>
      <c r="B10" s="30" t="s">
        <v>63</v>
      </c>
      <c r="C10" s="30" t="s">
        <v>56</v>
      </c>
      <c r="D10" s="30" t="s">
        <v>64</v>
      </c>
      <c r="E10" s="29">
        <v>25</v>
      </c>
      <c r="F10" s="29">
        <v>8</v>
      </c>
      <c r="G10" s="29" t="s">
        <v>65</v>
      </c>
      <c r="H10" s="35"/>
      <c r="K10" s="35">
        <f t="shared" si="0"/>
        <v>200</v>
      </c>
      <c r="L10" s="35"/>
    </row>
    <row r="11" spans="1:14" ht="28.8" x14ac:dyDescent="0.3">
      <c r="A11" s="29">
        <v>1008</v>
      </c>
      <c r="B11" s="30" t="s">
        <v>66</v>
      </c>
      <c r="C11" s="30" t="s">
        <v>59</v>
      </c>
      <c r="D11" s="30" t="s">
        <v>54</v>
      </c>
      <c r="E11" s="29">
        <v>18</v>
      </c>
      <c r="F11" s="29">
        <v>10</v>
      </c>
      <c r="G11" s="29" t="s">
        <v>67</v>
      </c>
      <c r="H11" s="35"/>
      <c r="K11" s="35">
        <f t="shared" si="0"/>
        <v>180</v>
      </c>
      <c r="L11" s="35"/>
      <c r="N11" s="37" t="s">
        <v>138</v>
      </c>
    </row>
    <row r="12" spans="1:14" x14ac:dyDescent="0.3">
      <c r="A12" s="29">
        <v>1009</v>
      </c>
      <c r="B12" s="30" t="s">
        <v>68</v>
      </c>
      <c r="C12" s="30" t="s">
        <v>50</v>
      </c>
      <c r="D12" s="30" t="s">
        <v>57</v>
      </c>
      <c r="E12" s="29">
        <v>22</v>
      </c>
      <c r="F12" s="29">
        <v>25</v>
      </c>
      <c r="G12" s="29" t="s">
        <v>69</v>
      </c>
      <c r="H12" s="35"/>
      <c r="K12" s="35">
        <f t="shared" si="0"/>
        <v>550</v>
      </c>
      <c r="L12" s="35"/>
    </row>
    <row r="13" spans="1:14" x14ac:dyDescent="0.3">
      <c r="A13" s="29">
        <v>1010</v>
      </c>
      <c r="B13" s="30" t="s">
        <v>70</v>
      </c>
      <c r="C13" s="30" t="s">
        <v>53</v>
      </c>
      <c r="D13" s="30" t="s">
        <v>51</v>
      </c>
      <c r="E13" s="29">
        <v>8</v>
      </c>
      <c r="F13" s="29">
        <v>50</v>
      </c>
      <c r="G13" s="29" t="s">
        <v>71</v>
      </c>
      <c r="H13" s="35"/>
      <c r="K13" s="35">
        <f t="shared" si="0"/>
        <v>400</v>
      </c>
      <c r="L13" s="35"/>
    </row>
    <row r="14" spans="1:14" x14ac:dyDescent="0.3">
      <c r="A14" s="29">
        <v>1011</v>
      </c>
      <c r="B14" s="30" t="s">
        <v>72</v>
      </c>
      <c r="C14" s="30" t="s">
        <v>56</v>
      </c>
      <c r="D14" s="30" t="s">
        <v>61</v>
      </c>
      <c r="E14" s="29">
        <v>40</v>
      </c>
      <c r="F14" s="29">
        <v>5</v>
      </c>
      <c r="G14" s="29" t="s">
        <v>73</v>
      </c>
      <c r="H14" s="35"/>
      <c r="K14" s="35">
        <f t="shared" si="0"/>
        <v>200</v>
      </c>
      <c r="L14" s="35"/>
    </row>
    <row r="15" spans="1:14" x14ac:dyDescent="0.3">
      <c r="A15" s="29">
        <v>1012</v>
      </c>
      <c r="B15" s="30" t="s">
        <v>74</v>
      </c>
      <c r="C15" s="30" t="s">
        <v>59</v>
      </c>
      <c r="D15" s="30" t="s">
        <v>64</v>
      </c>
      <c r="E15" s="29">
        <v>35</v>
      </c>
      <c r="F15" s="29">
        <v>8</v>
      </c>
      <c r="G15" s="29" t="s">
        <v>75</v>
      </c>
      <c r="H15" s="35"/>
      <c r="K15" s="35">
        <f t="shared" si="0"/>
        <v>280</v>
      </c>
      <c r="L15" s="35"/>
    </row>
    <row r="16" spans="1:14" x14ac:dyDescent="0.3">
      <c r="A16" s="29">
        <v>1013</v>
      </c>
      <c r="B16" s="30" t="s">
        <v>76</v>
      </c>
      <c r="C16" s="30" t="s">
        <v>50</v>
      </c>
      <c r="D16" s="30" t="s">
        <v>51</v>
      </c>
      <c r="E16" s="29">
        <v>14</v>
      </c>
      <c r="F16" s="29">
        <v>50</v>
      </c>
      <c r="G16" s="29" t="s">
        <v>77</v>
      </c>
      <c r="H16" s="35"/>
      <c r="K16" s="35">
        <f t="shared" si="0"/>
        <v>700</v>
      </c>
      <c r="L16" s="35"/>
    </row>
    <row r="17" spans="1:12" x14ac:dyDescent="0.3">
      <c r="A17" s="29">
        <v>1014</v>
      </c>
      <c r="B17" s="30" t="s">
        <v>78</v>
      </c>
      <c r="C17" s="30" t="s">
        <v>53</v>
      </c>
      <c r="D17" s="30" t="s">
        <v>54</v>
      </c>
      <c r="E17" s="29">
        <v>28</v>
      </c>
      <c r="F17" s="29">
        <v>10</v>
      </c>
      <c r="G17" s="29" t="s">
        <v>79</v>
      </c>
      <c r="H17" s="35"/>
      <c r="K17" s="35">
        <f t="shared" si="0"/>
        <v>280</v>
      </c>
      <c r="L17" s="35"/>
    </row>
    <row r="18" spans="1:12" x14ac:dyDescent="0.3">
      <c r="A18" s="29">
        <v>1015</v>
      </c>
      <c r="B18" s="30" t="s">
        <v>80</v>
      </c>
      <c r="C18" s="30" t="s">
        <v>56</v>
      </c>
      <c r="D18" s="30" t="s">
        <v>57</v>
      </c>
      <c r="E18" s="29">
        <v>12</v>
      </c>
      <c r="F18" s="29">
        <v>25</v>
      </c>
      <c r="G18" s="29" t="s">
        <v>81</v>
      </c>
      <c r="H18" s="35"/>
      <c r="K18" s="35">
        <f t="shared" si="0"/>
        <v>300</v>
      </c>
      <c r="L18" s="35"/>
    </row>
    <row r="19" spans="1:12" x14ac:dyDescent="0.3">
      <c r="A19" s="29">
        <v>1016</v>
      </c>
      <c r="B19" s="30" t="s">
        <v>82</v>
      </c>
      <c r="C19" s="30" t="s">
        <v>59</v>
      </c>
      <c r="D19" s="30" t="s">
        <v>61</v>
      </c>
      <c r="E19" s="29">
        <v>25</v>
      </c>
      <c r="F19" s="29">
        <v>5</v>
      </c>
      <c r="G19" s="29" t="s">
        <v>83</v>
      </c>
      <c r="H19" s="35"/>
      <c r="K19" s="35">
        <f t="shared" si="0"/>
        <v>125</v>
      </c>
      <c r="L19" s="35"/>
    </row>
    <row r="20" spans="1:12" x14ac:dyDescent="0.3">
      <c r="A20" s="29">
        <v>1017</v>
      </c>
      <c r="B20" s="30" t="s">
        <v>84</v>
      </c>
      <c r="C20" s="30" t="s">
        <v>50</v>
      </c>
      <c r="D20" s="30" t="s">
        <v>64</v>
      </c>
      <c r="E20" s="29">
        <v>20</v>
      </c>
      <c r="F20" s="29">
        <v>8</v>
      </c>
      <c r="G20" s="29" t="s">
        <v>85</v>
      </c>
      <c r="H20" s="35"/>
      <c r="K20" s="35">
        <f t="shared" si="0"/>
        <v>160</v>
      </c>
      <c r="L20" s="35"/>
    </row>
    <row r="21" spans="1:12" x14ac:dyDescent="0.3">
      <c r="A21" s="29">
        <v>1018</v>
      </c>
      <c r="B21" s="30" t="s">
        <v>86</v>
      </c>
      <c r="C21" s="30" t="s">
        <v>53</v>
      </c>
      <c r="D21" s="30" t="s">
        <v>51</v>
      </c>
      <c r="E21" s="29">
        <v>10</v>
      </c>
      <c r="F21" s="29">
        <v>50</v>
      </c>
      <c r="G21" s="29" t="s">
        <v>87</v>
      </c>
      <c r="H21" s="35"/>
      <c r="K21" s="35">
        <f t="shared" si="0"/>
        <v>500</v>
      </c>
      <c r="L21" s="35"/>
    </row>
    <row r="22" spans="1:12" x14ac:dyDescent="0.3">
      <c r="A22" s="29">
        <v>1019</v>
      </c>
      <c r="B22" s="30" t="s">
        <v>88</v>
      </c>
      <c r="C22" s="30" t="s">
        <v>56</v>
      </c>
      <c r="D22" s="30" t="s">
        <v>54</v>
      </c>
      <c r="E22" s="29">
        <v>15</v>
      </c>
      <c r="F22" s="29">
        <v>10</v>
      </c>
      <c r="G22" s="29" t="s">
        <v>89</v>
      </c>
      <c r="H22" s="35"/>
      <c r="K22" s="35">
        <f t="shared" si="0"/>
        <v>150</v>
      </c>
      <c r="L22" s="35"/>
    </row>
    <row r="23" spans="1:12" x14ac:dyDescent="0.3">
      <c r="A23" s="29">
        <v>1020</v>
      </c>
      <c r="B23" s="30" t="s">
        <v>90</v>
      </c>
      <c r="C23" s="30" t="s">
        <v>59</v>
      </c>
      <c r="D23" s="30" t="s">
        <v>57</v>
      </c>
      <c r="E23" s="29">
        <v>18</v>
      </c>
      <c r="F23" s="29">
        <v>25</v>
      </c>
      <c r="G23" s="31">
        <v>45293</v>
      </c>
      <c r="H23" s="35"/>
      <c r="K23" s="35">
        <f t="shared" si="0"/>
        <v>450</v>
      </c>
      <c r="L23" s="35"/>
    </row>
    <row r="24" spans="1:12" x14ac:dyDescent="0.3">
      <c r="A24" s="29">
        <v>1021</v>
      </c>
      <c r="B24" s="30" t="s">
        <v>91</v>
      </c>
      <c r="C24" s="30" t="s">
        <v>50</v>
      </c>
      <c r="D24" s="30" t="s">
        <v>51</v>
      </c>
      <c r="E24" s="29">
        <v>9</v>
      </c>
      <c r="F24" s="29">
        <v>50</v>
      </c>
      <c r="G24" s="31">
        <v>45324</v>
      </c>
      <c r="H24" s="35"/>
      <c r="K24" s="35">
        <f t="shared" si="0"/>
        <v>450</v>
      </c>
      <c r="L24" s="35"/>
    </row>
    <row r="25" spans="1:12" x14ac:dyDescent="0.3">
      <c r="A25" s="29">
        <v>1022</v>
      </c>
      <c r="B25" s="30" t="s">
        <v>92</v>
      </c>
      <c r="C25" s="30" t="s">
        <v>53</v>
      </c>
      <c r="D25" s="30" t="s">
        <v>61</v>
      </c>
      <c r="E25" s="29">
        <v>35</v>
      </c>
      <c r="F25" s="29">
        <v>5</v>
      </c>
      <c r="G25" s="31">
        <v>45353</v>
      </c>
      <c r="H25" s="35"/>
      <c r="K25" s="35">
        <f t="shared" si="0"/>
        <v>175</v>
      </c>
      <c r="L25" s="35"/>
    </row>
    <row r="26" spans="1:12" x14ac:dyDescent="0.3">
      <c r="A26" s="29">
        <v>1023</v>
      </c>
      <c r="B26" s="30" t="s">
        <v>93</v>
      </c>
      <c r="C26" s="30" t="s">
        <v>56</v>
      </c>
      <c r="D26" s="30" t="s">
        <v>64</v>
      </c>
      <c r="E26" s="29">
        <v>30</v>
      </c>
      <c r="F26" s="29">
        <v>8</v>
      </c>
      <c r="G26" s="31">
        <v>45384</v>
      </c>
      <c r="H26" s="35"/>
      <c r="K26" s="35">
        <f t="shared" si="0"/>
        <v>240</v>
      </c>
      <c r="L26" s="35"/>
    </row>
    <row r="27" spans="1:12" x14ac:dyDescent="0.3">
      <c r="A27" s="29">
        <v>1024</v>
      </c>
      <c r="B27" s="30" t="s">
        <v>94</v>
      </c>
      <c r="C27" s="30" t="s">
        <v>59</v>
      </c>
      <c r="D27" s="30" t="s">
        <v>51</v>
      </c>
      <c r="E27" s="29">
        <v>11</v>
      </c>
      <c r="F27" s="29">
        <v>50</v>
      </c>
      <c r="G27" s="31">
        <v>45445</v>
      </c>
      <c r="H27" s="35"/>
      <c r="K27" s="35">
        <f t="shared" si="0"/>
        <v>550</v>
      </c>
      <c r="L27" s="35"/>
    </row>
    <row r="28" spans="1:12" x14ac:dyDescent="0.3">
      <c r="A28" s="29">
        <v>1025</v>
      </c>
      <c r="B28" s="30" t="s">
        <v>95</v>
      </c>
      <c r="C28" s="30" t="s">
        <v>50</v>
      </c>
      <c r="D28" s="30" t="s">
        <v>54</v>
      </c>
      <c r="E28" s="29">
        <v>14</v>
      </c>
      <c r="F28" s="29">
        <v>10</v>
      </c>
      <c r="G28" s="31">
        <v>45475</v>
      </c>
      <c r="H28" s="35"/>
      <c r="K28" s="35">
        <f t="shared" si="0"/>
        <v>140</v>
      </c>
      <c r="L28" s="35"/>
    </row>
    <row r="29" spans="1:12" x14ac:dyDescent="0.3">
      <c r="A29" s="29">
        <v>1026</v>
      </c>
      <c r="B29" s="30" t="s">
        <v>96</v>
      </c>
      <c r="C29" s="30" t="s">
        <v>53</v>
      </c>
      <c r="D29" s="30" t="s">
        <v>57</v>
      </c>
      <c r="E29" s="29">
        <v>16</v>
      </c>
      <c r="F29" s="29">
        <v>25</v>
      </c>
      <c r="G29" s="31">
        <v>45506</v>
      </c>
      <c r="H29" s="35"/>
      <c r="K29" s="35">
        <f t="shared" si="0"/>
        <v>400</v>
      </c>
      <c r="L29" s="35"/>
    </row>
    <row r="30" spans="1:12" x14ac:dyDescent="0.3">
      <c r="A30" s="29">
        <v>1027</v>
      </c>
      <c r="B30" s="30" t="s">
        <v>97</v>
      </c>
      <c r="C30" s="30" t="s">
        <v>56</v>
      </c>
      <c r="D30" s="30" t="s">
        <v>61</v>
      </c>
      <c r="E30" s="29">
        <v>22</v>
      </c>
      <c r="F30" s="29">
        <v>5</v>
      </c>
      <c r="G30" s="31">
        <v>45537</v>
      </c>
      <c r="H30" s="35"/>
      <c r="K30" s="35">
        <f t="shared" si="0"/>
        <v>110</v>
      </c>
      <c r="L30" s="35"/>
    </row>
    <row r="31" spans="1:12" x14ac:dyDescent="0.3">
      <c r="A31" s="29">
        <v>1028</v>
      </c>
      <c r="B31" s="30" t="s">
        <v>98</v>
      </c>
      <c r="C31" s="30" t="s">
        <v>59</v>
      </c>
      <c r="D31" s="30" t="s">
        <v>64</v>
      </c>
      <c r="E31" s="29">
        <v>27</v>
      </c>
      <c r="F31" s="29">
        <v>8</v>
      </c>
      <c r="G31" s="31">
        <v>45567</v>
      </c>
      <c r="H31" s="35"/>
      <c r="K31" s="35">
        <f t="shared" si="0"/>
        <v>216</v>
      </c>
      <c r="L31" s="35"/>
    </row>
    <row r="32" spans="1:12" x14ac:dyDescent="0.3">
      <c r="A32" s="29">
        <v>1029</v>
      </c>
      <c r="B32" s="30" t="s">
        <v>99</v>
      </c>
      <c r="C32" s="30" t="s">
        <v>50</v>
      </c>
      <c r="D32" s="30" t="s">
        <v>51</v>
      </c>
      <c r="E32" s="29">
        <v>13</v>
      </c>
      <c r="F32" s="29">
        <v>50</v>
      </c>
      <c r="G32" s="31">
        <v>45628</v>
      </c>
      <c r="H32" s="35"/>
      <c r="K32" s="35">
        <f t="shared" si="0"/>
        <v>650</v>
      </c>
      <c r="L32" s="35"/>
    </row>
    <row r="33" spans="1:12" x14ac:dyDescent="0.3">
      <c r="A33" s="29">
        <v>1030</v>
      </c>
      <c r="B33" s="30" t="s">
        <v>100</v>
      </c>
      <c r="C33" s="30" t="s">
        <v>53</v>
      </c>
      <c r="D33" s="30" t="s">
        <v>54</v>
      </c>
      <c r="E33" s="29">
        <v>32</v>
      </c>
      <c r="F33" s="29">
        <v>10</v>
      </c>
      <c r="G33" s="29" t="s">
        <v>101</v>
      </c>
      <c r="H33" s="35"/>
      <c r="K33" s="35">
        <f t="shared" si="0"/>
        <v>320</v>
      </c>
      <c r="L33" s="35"/>
    </row>
    <row r="34" spans="1:12" x14ac:dyDescent="0.3">
      <c r="A34" s="29">
        <v>1031</v>
      </c>
      <c r="B34" s="30" t="s">
        <v>102</v>
      </c>
      <c r="C34" s="30" t="s">
        <v>56</v>
      </c>
      <c r="D34" s="30" t="s">
        <v>57</v>
      </c>
      <c r="E34" s="29">
        <v>10</v>
      </c>
      <c r="F34" s="29">
        <v>25</v>
      </c>
      <c r="G34" s="29" t="s">
        <v>103</v>
      </c>
      <c r="H34" s="35"/>
      <c r="K34" s="35">
        <f t="shared" si="0"/>
        <v>250</v>
      </c>
      <c r="L34" s="35"/>
    </row>
    <row r="35" spans="1:12" x14ac:dyDescent="0.3">
      <c r="A35" s="29">
        <v>1032</v>
      </c>
      <c r="B35" s="30" t="s">
        <v>104</v>
      </c>
      <c r="C35" s="30" t="s">
        <v>59</v>
      </c>
      <c r="D35" s="30" t="s">
        <v>61</v>
      </c>
      <c r="E35" s="29">
        <v>18</v>
      </c>
      <c r="F35" s="29">
        <v>5</v>
      </c>
      <c r="G35" s="29" t="s">
        <v>105</v>
      </c>
      <c r="H35" s="35"/>
      <c r="K35" s="35">
        <f t="shared" si="0"/>
        <v>90</v>
      </c>
      <c r="L35" s="35"/>
    </row>
    <row r="36" spans="1:12" x14ac:dyDescent="0.3">
      <c r="A36" s="29">
        <v>1033</v>
      </c>
      <c r="B36" s="30" t="s">
        <v>106</v>
      </c>
      <c r="C36" s="30" t="s">
        <v>50</v>
      </c>
      <c r="D36" s="30" t="s">
        <v>64</v>
      </c>
      <c r="E36" s="29">
        <v>22</v>
      </c>
      <c r="F36" s="29">
        <v>8</v>
      </c>
      <c r="G36" s="29" t="s">
        <v>107</v>
      </c>
      <c r="H36" s="35"/>
      <c r="K36" s="35">
        <f t="shared" si="0"/>
        <v>176</v>
      </c>
      <c r="L36" s="35"/>
    </row>
    <row r="37" spans="1:12" x14ac:dyDescent="0.3">
      <c r="A37" s="29">
        <v>1034</v>
      </c>
      <c r="B37" s="30" t="s">
        <v>108</v>
      </c>
      <c r="C37" s="30" t="s">
        <v>53</v>
      </c>
      <c r="D37" s="30" t="s">
        <v>51</v>
      </c>
      <c r="E37" s="29">
        <v>17</v>
      </c>
      <c r="F37" s="29">
        <v>50</v>
      </c>
      <c r="G37" s="29" t="s">
        <v>109</v>
      </c>
      <c r="H37" s="35"/>
      <c r="K37" s="35">
        <f t="shared" si="0"/>
        <v>850</v>
      </c>
      <c r="L37" s="35"/>
    </row>
    <row r="38" spans="1:12" x14ac:dyDescent="0.3">
      <c r="A38" s="29">
        <v>1035</v>
      </c>
      <c r="B38" s="30" t="s">
        <v>110</v>
      </c>
      <c r="C38" s="30" t="s">
        <v>56</v>
      </c>
      <c r="D38" s="30" t="s">
        <v>54</v>
      </c>
      <c r="E38" s="29">
        <v>19</v>
      </c>
      <c r="F38" s="29">
        <v>10</v>
      </c>
      <c r="G38" s="29" t="s">
        <v>111</v>
      </c>
      <c r="H38" s="35"/>
      <c r="K38" s="35">
        <f t="shared" si="0"/>
        <v>190</v>
      </c>
      <c r="L38" s="35"/>
    </row>
    <row r="39" spans="1:12" x14ac:dyDescent="0.3">
      <c r="A39" s="29">
        <v>1036</v>
      </c>
      <c r="B39" s="30" t="s">
        <v>112</v>
      </c>
      <c r="C39" s="30" t="s">
        <v>59</v>
      </c>
      <c r="D39" s="30" t="s">
        <v>57</v>
      </c>
      <c r="E39" s="29">
        <v>15</v>
      </c>
      <c r="F39" s="29">
        <v>25</v>
      </c>
      <c r="G39" s="29" t="s">
        <v>113</v>
      </c>
      <c r="H39" s="35"/>
      <c r="K39" s="35">
        <f t="shared" si="0"/>
        <v>375</v>
      </c>
      <c r="L39" s="35"/>
    </row>
    <row r="40" spans="1:12" x14ac:dyDescent="0.3">
      <c r="A40" s="29">
        <v>1037</v>
      </c>
      <c r="B40" s="30" t="s">
        <v>114</v>
      </c>
      <c r="C40" s="30" t="s">
        <v>50</v>
      </c>
      <c r="D40" s="30" t="s">
        <v>61</v>
      </c>
      <c r="E40" s="29">
        <v>28</v>
      </c>
      <c r="F40" s="29">
        <v>5</v>
      </c>
      <c r="G40" s="29" t="s">
        <v>115</v>
      </c>
      <c r="H40" s="35"/>
      <c r="K40" s="35">
        <f t="shared" si="0"/>
        <v>140</v>
      </c>
      <c r="L40" s="35"/>
    </row>
    <row r="41" spans="1:12" x14ac:dyDescent="0.3">
      <c r="A41" s="29">
        <v>1038</v>
      </c>
      <c r="B41" s="30" t="s">
        <v>116</v>
      </c>
      <c r="C41" s="30" t="s">
        <v>53</v>
      </c>
      <c r="D41" s="30" t="s">
        <v>64</v>
      </c>
      <c r="E41" s="29">
        <v>24</v>
      </c>
      <c r="F41" s="29">
        <v>8</v>
      </c>
      <c r="G41" s="29" t="s">
        <v>117</v>
      </c>
      <c r="H41" s="35"/>
      <c r="K41" s="35">
        <f t="shared" si="0"/>
        <v>192</v>
      </c>
      <c r="L41" s="35"/>
    </row>
    <row r="42" spans="1:12" x14ac:dyDescent="0.3">
      <c r="A42" s="29">
        <v>1039</v>
      </c>
      <c r="B42" s="30" t="s">
        <v>118</v>
      </c>
      <c r="C42" s="30" t="s">
        <v>56</v>
      </c>
      <c r="D42" s="30" t="s">
        <v>51</v>
      </c>
      <c r="E42" s="29">
        <v>16</v>
      </c>
      <c r="F42" s="29">
        <v>50</v>
      </c>
      <c r="G42" s="29" t="s">
        <v>119</v>
      </c>
      <c r="H42" s="35"/>
      <c r="K42" s="35">
        <f t="shared" si="0"/>
        <v>800</v>
      </c>
      <c r="L42" s="35"/>
    </row>
    <row r="43" spans="1:12" x14ac:dyDescent="0.3">
      <c r="A43" s="29">
        <v>1040</v>
      </c>
      <c r="B43" s="30" t="s">
        <v>120</v>
      </c>
      <c r="C43" s="30" t="s">
        <v>59</v>
      </c>
      <c r="D43" s="30" t="s">
        <v>54</v>
      </c>
      <c r="E43" s="29">
        <v>27</v>
      </c>
      <c r="F43" s="29">
        <v>10</v>
      </c>
      <c r="G43" s="29" t="s">
        <v>121</v>
      </c>
      <c r="H43" s="35"/>
      <c r="K43" s="35">
        <f t="shared" si="0"/>
        <v>270</v>
      </c>
      <c r="L43" s="35"/>
    </row>
    <row r="44" spans="1:12" x14ac:dyDescent="0.3">
      <c r="A44" s="29">
        <v>1041</v>
      </c>
      <c r="B44" s="30" t="s">
        <v>122</v>
      </c>
      <c r="C44" s="30" t="s">
        <v>50</v>
      </c>
      <c r="D44" s="30" t="s">
        <v>57</v>
      </c>
      <c r="E44" s="29">
        <v>21</v>
      </c>
      <c r="F44" s="29">
        <v>25</v>
      </c>
      <c r="G44" s="29" t="s">
        <v>123</v>
      </c>
      <c r="H44" s="35"/>
      <c r="K44" s="35">
        <f t="shared" si="0"/>
        <v>525</v>
      </c>
      <c r="L44" s="35"/>
    </row>
    <row r="45" spans="1:12" x14ac:dyDescent="0.3">
      <c r="A45" s="29">
        <v>1042</v>
      </c>
      <c r="B45" s="30" t="s">
        <v>124</v>
      </c>
      <c r="C45" s="30" t="s">
        <v>53</v>
      </c>
      <c r="D45" s="30" t="s">
        <v>61</v>
      </c>
      <c r="E45" s="29">
        <v>30</v>
      </c>
      <c r="F45" s="29">
        <v>5</v>
      </c>
      <c r="G45" s="29" t="s">
        <v>125</v>
      </c>
      <c r="H45" s="35"/>
      <c r="K45" s="35">
        <f t="shared" si="0"/>
        <v>150</v>
      </c>
      <c r="L45" s="35"/>
    </row>
    <row r="46" spans="1:12" x14ac:dyDescent="0.3">
      <c r="A46" s="29">
        <v>1043</v>
      </c>
      <c r="B46" s="30" t="s">
        <v>126</v>
      </c>
      <c r="C46" s="30" t="s">
        <v>56</v>
      </c>
      <c r="D46" s="30" t="s">
        <v>64</v>
      </c>
      <c r="E46" s="29">
        <v>26</v>
      </c>
      <c r="F46" s="29">
        <v>8</v>
      </c>
      <c r="G46" s="31">
        <v>45294</v>
      </c>
      <c r="H46" s="35"/>
      <c r="K46" s="35">
        <f t="shared" si="0"/>
        <v>208</v>
      </c>
      <c r="L46" s="35"/>
    </row>
    <row r="47" spans="1:12" x14ac:dyDescent="0.3">
      <c r="A47" s="29">
        <v>1044</v>
      </c>
      <c r="B47" s="30" t="s">
        <v>127</v>
      </c>
      <c r="C47" s="30" t="s">
        <v>59</v>
      </c>
      <c r="D47" s="30" t="s">
        <v>51</v>
      </c>
      <c r="E47" s="29">
        <v>14</v>
      </c>
      <c r="F47" s="29">
        <v>50</v>
      </c>
      <c r="G47" s="31">
        <v>45325</v>
      </c>
      <c r="H47" s="35"/>
      <c r="K47" s="35">
        <f t="shared" si="0"/>
        <v>700</v>
      </c>
      <c r="L47" s="35"/>
    </row>
    <row r="48" spans="1:12" x14ac:dyDescent="0.3">
      <c r="A48" s="29">
        <v>1045</v>
      </c>
      <c r="B48" s="30" t="s">
        <v>128</v>
      </c>
      <c r="C48" s="30" t="s">
        <v>50</v>
      </c>
      <c r="D48" s="30" t="s">
        <v>54</v>
      </c>
      <c r="E48" s="29">
        <v>20</v>
      </c>
      <c r="F48" s="29">
        <v>10</v>
      </c>
      <c r="G48" s="31">
        <v>45354</v>
      </c>
      <c r="H48" s="35"/>
      <c r="K48" s="35">
        <f t="shared" si="0"/>
        <v>200</v>
      </c>
      <c r="L48" s="35"/>
    </row>
    <row r="49" spans="1:12" x14ac:dyDescent="0.3">
      <c r="A49" s="29">
        <v>1046</v>
      </c>
      <c r="B49" s="30" t="s">
        <v>129</v>
      </c>
      <c r="C49" s="30" t="s">
        <v>53</v>
      </c>
      <c r="D49" s="30" t="s">
        <v>57</v>
      </c>
      <c r="E49" s="29">
        <v>17</v>
      </c>
      <c r="F49" s="29">
        <v>25</v>
      </c>
      <c r="G49" s="31">
        <v>45385</v>
      </c>
      <c r="H49" s="35"/>
      <c r="K49" s="35">
        <f t="shared" si="0"/>
        <v>425</v>
      </c>
      <c r="L49" s="35"/>
    </row>
    <row r="50" spans="1:12" x14ac:dyDescent="0.3">
      <c r="A50" s="29">
        <v>1047</v>
      </c>
      <c r="B50" s="30" t="s">
        <v>130</v>
      </c>
      <c r="C50" s="30" t="s">
        <v>56</v>
      </c>
      <c r="D50" s="30" t="s">
        <v>61</v>
      </c>
      <c r="E50" s="29">
        <v>19</v>
      </c>
      <c r="F50" s="29">
        <v>5</v>
      </c>
      <c r="G50" s="31">
        <v>45415</v>
      </c>
      <c r="H50" s="35"/>
      <c r="K50" s="35">
        <f t="shared" si="0"/>
        <v>95</v>
      </c>
      <c r="L50" s="35"/>
    </row>
    <row r="51" spans="1:12" x14ac:dyDescent="0.3">
      <c r="A51" s="29">
        <v>1048</v>
      </c>
      <c r="B51" s="30" t="s">
        <v>131</v>
      </c>
      <c r="C51" s="30" t="s">
        <v>59</v>
      </c>
      <c r="D51" s="30" t="s">
        <v>64</v>
      </c>
      <c r="E51" s="29">
        <v>32</v>
      </c>
      <c r="F51" s="29">
        <v>8</v>
      </c>
      <c r="G51" s="31">
        <v>45446</v>
      </c>
      <c r="H51" s="35"/>
      <c r="K51" s="35">
        <f t="shared" si="0"/>
        <v>256</v>
      </c>
      <c r="L51" s="35"/>
    </row>
    <row r="52" spans="1:12" x14ac:dyDescent="0.3">
      <c r="A52" s="29">
        <v>1049</v>
      </c>
      <c r="B52" s="30" t="s">
        <v>132</v>
      </c>
      <c r="C52" s="30" t="s">
        <v>50</v>
      </c>
      <c r="D52" s="30" t="s">
        <v>51</v>
      </c>
      <c r="E52" s="29">
        <v>12</v>
      </c>
      <c r="F52" s="29">
        <v>50</v>
      </c>
      <c r="G52" s="31">
        <v>45476</v>
      </c>
      <c r="H52" s="35"/>
      <c r="K52" s="35">
        <f t="shared" si="0"/>
        <v>600</v>
      </c>
      <c r="L52" s="35"/>
    </row>
    <row r="53" spans="1:12" x14ac:dyDescent="0.3">
      <c r="A53" s="29">
        <v>1050</v>
      </c>
      <c r="B53" s="30" t="s">
        <v>133</v>
      </c>
      <c r="C53" s="30" t="s">
        <v>53</v>
      </c>
      <c r="D53" s="30" t="s">
        <v>54</v>
      </c>
      <c r="E53" s="29">
        <v>25</v>
      </c>
      <c r="F53" s="29">
        <v>10</v>
      </c>
      <c r="G53" s="31">
        <v>45507</v>
      </c>
      <c r="H53" s="35"/>
      <c r="K53" s="35">
        <f t="shared" si="0"/>
        <v>250</v>
      </c>
      <c r="L53" s="35"/>
    </row>
    <row r="54" spans="1:12" x14ac:dyDescent="0.3">
      <c r="K54" s="35"/>
      <c r="L54" s="35"/>
    </row>
    <row r="55" spans="1:12" x14ac:dyDescent="0.3">
      <c r="K55" s="35"/>
      <c r="L55" s="35"/>
    </row>
    <row r="56" spans="1:12" x14ac:dyDescent="0.3">
      <c r="K56" s="35"/>
      <c r="L56" s="35"/>
    </row>
    <row r="57" spans="1:12" x14ac:dyDescent="0.3">
      <c r="K57" s="35"/>
      <c r="L57" s="35"/>
    </row>
    <row r="58" spans="1:12" x14ac:dyDescent="0.3">
      <c r="K58" s="35"/>
      <c r="L58" s="35"/>
    </row>
  </sheetData>
  <mergeCells count="1">
    <mergeCell ref="A1:J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5"/>
  <sheetViews>
    <sheetView workbookViewId="0">
      <selection activeCell="B1" sqref="B1:L1"/>
    </sheetView>
  </sheetViews>
  <sheetFormatPr defaultRowHeight="14.4" x14ac:dyDescent="0.3"/>
  <cols>
    <col min="2" max="2" width="8.88671875" customWidth="1"/>
    <col min="7" max="7" width="13.109375" customWidth="1"/>
    <col min="11" max="11" width="15.5546875" customWidth="1"/>
    <col min="14" max="14" width="46.33203125" customWidth="1"/>
  </cols>
  <sheetData>
    <row r="1" spans="1:16" s="59" customFormat="1" ht="15.6" x14ac:dyDescent="0.3">
      <c r="A1" s="60"/>
      <c r="B1" s="56" t="s">
        <v>139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5" spans="1:16" ht="18" x14ac:dyDescent="0.35">
      <c r="A5" s="28" t="s">
        <v>42</v>
      </c>
      <c r="B5" s="28" t="s">
        <v>43</v>
      </c>
      <c r="C5" s="28" t="s">
        <v>44</v>
      </c>
      <c r="D5" s="28" t="s">
        <v>45</v>
      </c>
      <c r="E5" s="28" t="s">
        <v>46</v>
      </c>
      <c r="F5" s="28" t="s">
        <v>47</v>
      </c>
      <c r="G5" s="28" t="s">
        <v>48</v>
      </c>
      <c r="H5" s="40" t="s">
        <v>140</v>
      </c>
      <c r="I5" s="38"/>
      <c r="J5" s="39" t="s">
        <v>3</v>
      </c>
      <c r="K5" s="42">
        <f>SUMIFS(H6:H55,C6:C55,"North",D6:D55,"Notebook")</f>
        <v>2900</v>
      </c>
      <c r="L5" s="38"/>
    </row>
    <row r="6" spans="1:16" x14ac:dyDescent="0.3">
      <c r="A6" s="29">
        <v>1001</v>
      </c>
      <c r="B6" s="30" t="s">
        <v>49</v>
      </c>
      <c r="C6" s="30" t="s">
        <v>50</v>
      </c>
      <c r="D6" s="30" t="s">
        <v>51</v>
      </c>
      <c r="E6" s="29">
        <v>10</v>
      </c>
      <c r="F6" s="29">
        <v>50</v>
      </c>
      <c r="G6" s="31">
        <v>45413</v>
      </c>
      <c r="H6" s="41">
        <v>500</v>
      </c>
      <c r="I6" s="38"/>
      <c r="J6" s="38"/>
      <c r="K6" s="38"/>
      <c r="L6" s="38"/>
    </row>
    <row r="7" spans="1:16" x14ac:dyDescent="0.3">
      <c r="A7" s="29">
        <v>1002</v>
      </c>
      <c r="B7" s="30" t="s">
        <v>52</v>
      </c>
      <c r="C7" s="30" t="s">
        <v>53</v>
      </c>
      <c r="D7" s="30" t="s">
        <v>54</v>
      </c>
      <c r="E7" s="29">
        <v>20</v>
      </c>
      <c r="F7" s="29">
        <v>10</v>
      </c>
      <c r="G7" s="31">
        <v>45444</v>
      </c>
      <c r="H7" s="41">
        <v>200</v>
      </c>
      <c r="I7" s="38"/>
      <c r="J7" s="38"/>
      <c r="K7" s="38"/>
      <c r="L7" s="38"/>
    </row>
    <row r="8" spans="1:16" x14ac:dyDescent="0.3">
      <c r="A8" s="29">
        <v>1003</v>
      </c>
      <c r="B8" s="30" t="s">
        <v>55</v>
      </c>
      <c r="C8" s="30" t="s">
        <v>56</v>
      </c>
      <c r="D8" s="30" t="s">
        <v>57</v>
      </c>
      <c r="E8" s="29">
        <v>15</v>
      </c>
      <c r="F8" s="29">
        <v>25</v>
      </c>
      <c r="G8" s="31">
        <v>45474</v>
      </c>
      <c r="H8" s="41">
        <v>375</v>
      </c>
      <c r="I8" s="38"/>
      <c r="J8" s="38"/>
      <c r="K8" s="38"/>
      <c r="L8" s="38"/>
    </row>
    <row r="9" spans="1:16" x14ac:dyDescent="0.3">
      <c r="A9" s="29">
        <v>1004</v>
      </c>
      <c r="B9" s="30" t="s">
        <v>58</v>
      </c>
      <c r="C9" s="30" t="s">
        <v>59</v>
      </c>
      <c r="D9" s="30" t="s">
        <v>51</v>
      </c>
      <c r="E9" s="29">
        <v>5</v>
      </c>
      <c r="F9" s="29">
        <v>50</v>
      </c>
      <c r="G9" s="31">
        <v>45505</v>
      </c>
      <c r="H9" s="41">
        <v>250</v>
      </c>
      <c r="I9" s="38"/>
      <c r="J9" s="38"/>
      <c r="K9" s="38"/>
      <c r="L9" s="38"/>
    </row>
    <row r="10" spans="1:16" x14ac:dyDescent="0.3">
      <c r="A10" s="29">
        <v>1005</v>
      </c>
      <c r="B10" s="30" t="s">
        <v>60</v>
      </c>
      <c r="C10" s="30" t="s">
        <v>50</v>
      </c>
      <c r="D10" s="30" t="s">
        <v>61</v>
      </c>
      <c r="E10" s="29">
        <v>30</v>
      </c>
      <c r="F10" s="29">
        <v>5</v>
      </c>
      <c r="G10" s="31">
        <v>45566</v>
      </c>
      <c r="H10" s="41">
        <v>150</v>
      </c>
      <c r="I10" s="38"/>
      <c r="J10" s="38"/>
      <c r="K10" s="38"/>
      <c r="L10" s="38"/>
    </row>
    <row r="11" spans="1:16" x14ac:dyDescent="0.3">
      <c r="A11" s="29">
        <v>1006</v>
      </c>
      <c r="B11" s="30" t="s">
        <v>62</v>
      </c>
      <c r="C11" s="30" t="s">
        <v>53</v>
      </c>
      <c r="D11" s="30" t="s">
        <v>51</v>
      </c>
      <c r="E11" s="29">
        <v>12</v>
      </c>
      <c r="F11" s="29">
        <v>50</v>
      </c>
      <c r="G11" s="31">
        <v>45597</v>
      </c>
      <c r="H11" s="41">
        <v>600</v>
      </c>
      <c r="I11" s="38"/>
      <c r="J11" s="38"/>
      <c r="K11" s="38"/>
      <c r="L11" s="38"/>
    </row>
    <row r="12" spans="1:16" ht="43.2" x14ac:dyDescent="0.3">
      <c r="A12" s="29">
        <v>1007</v>
      </c>
      <c r="B12" s="30" t="s">
        <v>63</v>
      </c>
      <c r="C12" s="30" t="s">
        <v>56</v>
      </c>
      <c r="D12" s="30" t="s">
        <v>64</v>
      </c>
      <c r="E12" s="29">
        <v>25</v>
      </c>
      <c r="F12" s="29">
        <v>8</v>
      </c>
      <c r="G12" s="29" t="s">
        <v>65</v>
      </c>
      <c r="H12" s="41">
        <v>200</v>
      </c>
      <c r="I12" s="38"/>
      <c r="J12" s="38"/>
      <c r="K12" s="43"/>
      <c r="L12" s="32"/>
      <c r="M12" s="32"/>
      <c r="N12" s="44" t="s">
        <v>141</v>
      </c>
      <c r="O12" s="32"/>
      <c r="P12" s="32"/>
    </row>
    <row r="13" spans="1:16" x14ac:dyDescent="0.3">
      <c r="A13" s="29">
        <v>1008</v>
      </c>
      <c r="B13" s="30" t="s">
        <v>66</v>
      </c>
      <c r="C13" s="30" t="s">
        <v>59</v>
      </c>
      <c r="D13" s="30" t="s">
        <v>54</v>
      </c>
      <c r="E13" s="29">
        <v>18</v>
      </c>
      <c r="F13" s="29">
        <v>10</v>
      </c>
      <c r="G13" s="29" t="s">
        <v>67</v>
      </c>
      <c r="H13" s="41">
        <v>180</v>
      </c>
      <c r="I13" s="38"/>
      <c r="J13" s="38"/>
      <c r="K13" s="38"/>
      <c r="L13" s="38"/>
    </row>
    <row r="14" spans="1:16" x14ac:dyDescent="0.3">
      <c r="A14" s="29">
        <v>1009</v>
      </c>
      <c r="B14" s="30" t="s">
        <v>68</v>
      </c>
      <c r="C14" s="30" t="s">
        <v>50</v>
      </c>
      <c r="D14" s="30" t="s">
        <v>57</v>
      </c>
      <c r="E14" s="29">
        <v>22</v>
      </c>
      <c r="F14" s="29">
        <v>25</v>
      </c>
      <c r="G14" s="29" t="s">
        <v>69</v>
      </c>
      <c r="H14" s="41">
        <v>550</v>
      </c>
      <c r="I14" s="38"/>
      <c r="J14" s="38"/>
      <c r="K14" s="38"/>
      <c r="L14" s="38"/>
    </row>
    <row r="15" spans="1:16" x14ac:dyDescent="0.3">
      <c r="A15" s="29">
        <v>1010</v>
      </c>
      <c r="B15" s="30" t="s">
        <v>70</v>
      </c>
      <c r="C15" s="30" t="s">
        <v>53</v>
      </c>
      <c r="D15" s="30" t="s">
        <v>51</v>
      </c>
      <c r="E15" s="29">
        <v>8</v>
      </c>
      <c r="F15" s="29">
        <v>50</v>
      </c>
      <c r="G15" s="29" t="s">
        <v>71</v>
      </c>
      <c r="H15" s="41">
        <v>400</v>
      </c>
    </row>
    <row r="16" spans="1:16" x14ac:dyDescent="0.3">
      <c r="A16" s="29">
        <v>1011</v>
      </c>
      <c r="B16" s="30" t="s">
        <v>72</v>
      </c>
      <c r="C16" s="30" t="s">
        <v>56</v>
      </c>
      <c r="D16" s="30" t="s">
        <v>61</v>
      </c>
      <c r="E16" s="29">
        <v>40</v>
      </c>
      <c r="F16" s="29">
        <v>5</v>
      </c>
      <c r="G16" s="29" t="s">
        <v>73</v>
      </c>
      <c r="H16" s="41">
        <v>200</v>
      </c>
    </row>
    <row r="17" spans="1:8" x14ac:dyDescent="0.3">
      <c r="A17" s="29">
        <v>1012</v>
      </c>
      <c r="B17" s="30" t="s">
        <v>74</v>
      </c>
      <c r="C17" s="30" t="s">
        <v>59</v>
      </c>
      <c r="D17" s="30" t="s">
        <v>64</v>
      </c>
      <c r="E17" s="29">
        <v>35</v>
      </c>
      <c r="F17" s="29">
        <v>8</v>
      </c>
      <c r="G17" s="29" t="s">
        <v>75</v>
      </c>
      <c r="H17" s="41">
        <v>280</v>
      </c>
    </row>
    <row r="18" spans="1:8" x14ac:dyDescent="0.3">
      <c r="A18" s="29">
        <v>1013</v>
      </c>
      <c r="B18" s="30" t="s">
        <v>76</v>
      </c>
      <c r="C18" s="30" t="s">
        <v>50</v>
      </c>
      <c r="D18" s="30" t="s">
        <v>51</v>
      </c>
      <c r="E18" s="29">
        <v>14</v>
      </c>
      <c r="F18" s="29">
        <v>50</v>
      </c>
      <c r="G18" s="29" t="s">
        <v>77</v>
      </c>
      <c r="H18" s="41">
        <v>700</v>
      </c>
    </row>
    <row r="19" spans="1:8" x14ac:dyDescent="0.3">
      <c r="A19" s="29">
        <v>1014</v>
      </c>
      <c r="B19" s="30" t="s">
        <v>78</v>
      </c>
      <c r="C19" s="30" t="s">
        <v>53</v>
      </c>
      <c r="D19" s="30" t="s">
        <v>54</v>
      </c>
      <c r="E19" s="29">
        <v>28</v>
      </c>
      <c r="F19" s="29">
        <v>10</v>
      </c>
      <c r="G19" s="29" t="s">
        <v>79</v>
      </c>
      <c r="H19" s="41">
        <v>280</v>
      </c>
    </row>
    <row r="20" spans="1:8" x14ac:dyDescent="0.3">
      <c r="A20" s="29">
        <v>1015</v>
      </c>
      <c r="B20" s="30" t="s">
        <v>80</v>
      </c>
      <c r="C20" s="30" t="s">
        <v>56</v>
      </c>
      <c r="D20" s="30" t="s">
        <v>57</v>
      </c>
      <c r="E20" s="29">
        <v>12</v>
      </c>
      <c r="F20" s="29">
        <v>25</v>
      </c>
      <c r="G20" s="29" t="s">
        <v>81</v>
      </c>
      <c r="H20" s="41">
        <v>300</v>
      </c>
    </row>
    <row r="21" spans="1:8" x14ac:dyDescent="0.3">
      <c r="A21" s="29">
        <v>1016</v>
      </c>
      <c r="B21" s="30" t="s">
        <v>82</v>
      </c>
      <c r="C21" s="30" t="s">
        <v>59</v>
      </c>
      <c r="D21" s="30" t="s">
        <v>61</v>
      </c>
      <c r="E21" s="29">
        <v>25</v>
      </c>
      <c r="F21" s="29">
        <v>5</v>
      </c>
      <c r="G21" s="29" t="s">
        <v>83</v>
      </c>
      <c r="H21" s="41">
        <v>125</v>
      </c>
    </row>
    <row r="22" spans="1:8" x14ac:dyDescent="0.3">
      <c r="A22" s="29">
        <v>1017</v>
      </c>
      <c r="B22" s="30" t="s">
        <v>84</v>
      </c>
      <c r="C22" s="30" t="s">
        <v>50</v>
      </c>
      <c r="D22" s="30" t="s">
        <v>64</v>
      </c>
      <c r="E22" s="29">
        <v>20</v>
      </c>
      <c r="F22" s="29">
        <v>8</v>
      </c>
      <c r="G22" s="29" t="s">
        <v>85</v>
      </c>
      <c r="H22" s="41">
        <v>160</v>
      </c>
    </row>
    <row r="23" spans="1:8" x14ac:dyDescent="0.3">
      <c r="A23" s="29">
        <v>1018</v>
      </c>
      <c r="B23" s="30" t="s">
        <v>86</v>
      </c>
      <c r="C23" s="30" t="s">
        <v>53</v>
      </c>
      <c r="D23" s="30" t="s">
        <v>51</v>
      </c>
      <c r="E23" s="29">
        <v>10</v>
      </c>
      <c r="F23" s="29">
        <v>50</v>
      </c>
      <c r="G23" s="29" t="s">
        <v>87</v>
      </c>
      <c r="H23" s="41">
        <v>500</v>
      </c>
    </row>
    <row r="24" spans="1:8" x14ac:dyDescent="0.3">
      <c r="A24" s="29">
        <v>1019</v>
      </c>
      <c r="B24" s="30" t="s">
        <v>88</v>
      </c>
      <c r="C24" s="30" t="s">
        <v>56</v>
      </c>
      <c r="D24" s="30" t="s">
        <v>54</v>
      </c>
      <c r="E24" s="29">
        <v>15</v>
      </c>
      <c r="F24" s="29">
        <v>10</v>
      </c>
      <c r="G24" s="29" t="s">
        <v>89</v>
      </c>
      <c r="H24" s="41">
        <v>150</v>
      </c>
    </row>
    <row r="25" spans="1:8" x14ac:dyDescent="0.3">
      <c r="A25" s="29">
        <v>1020</v>
      </c>
      <c r="B25" s="30" t="s">
        <v>90</v>
      </c>
      <c r="C25" s="30" t="s">
        <v>59</v>
      </c>
      <c r="D25" s="30" t="s">
        <v>57</v>
      </c>
      <c r="E25" s="29">
        <v>18</v>
      </c>
      <c r="F25" s="29">
        <v>25</v>
      </c>
      <c r="G25" s="31">
        <v>45293</v>
      </c>
      <c r="H25" s="41">
        <v>450</v>
      </c>
    </row>
    <row r="26" spans="1:8" x14ac:dyDescent="0.3">
      <c r="A26" s="29">
        <v>1021</v>
      </c>
      <c r="B26" s="30" t="s">
        <v>91</v>
      </c>
      <c r="C26" s="30" t="s">
        <v>50</v>
      </c>
      <c r="D26" s="30" t="s">
        <v>51</v>
      </c>
      <c r="E26" s="29">
        <v>9</v>
      </c>
      <c r="F26" s="29">
        <v>50</v>
      </c>
      <c r="G26" s="31">
        <v>45324</v>
      </c>
      <c r="H26" s="41">
        <v>450</v>
      </c>
    </row>
    <row r="27" spans="1:8" x14ac:dyDescent="0.3">
      <c r="A27" s="29">
        <v>1022</v>
      </c>
      <c r="B27" s="30" t="s">
        <v>92</v>
      </c>
      <c r="C27" s="30" t="s">
        <v>53</v>
      </c>
      <c r="D27" s="30" t="s">
        <v>61</v>
      </c>
      <c r="E27" s="29">
        <v>35</v>
      </c>
      <c r="F27" s="29">
        <v>5</v>
      </c>
      <c r="G27" s="31">
        <v>45353</v>
      </c>
      <c r="H27" s="41">
        <v>175</v>
      </c>
    </row>
    <row r="28" spans="1:8" x14ac:dyDescent="0.3">
      <c r="A28" s="29">
        <v>1023</v>
      </c>
      <c r="B28" s="30" t="s">
        <v>93</v>
      </c>
      <c r="C28" s="30" t="s">
        <v>56</v>
      </c>
      <c r="D28" s="30" t="s">
        <v>64</v>
      </c>
      <c r="E28" s="29">
        <v>30</v>
      </c>
      <c r="F28" s="29">
        <v>8</v>
      </c>
      <c r="G28" s="31">
        <v>45384</v>
      </c>
      <c r="H28" s="41">
        <v>240</v>
      </c>
    </row>
    <row r="29" spans="1:8" x14ac:dyDescent="0.3">
      <c r="A29" s="29">
        <v>1024</v>
      </c>
      <c r="B29" s="30" t="s">
        <v>94</v>
      </c>
      <c r="C29" s="30" t="s">
        <v>59</v>
      </c>
      <c r="D29" s="30" t="s">
        <v>51</v>
      </c>
      <c r="E29" s="29">
        <v>11</v>
      </c>
      <c r="F29" s="29">
        <v>50</v>
      </c>
      <c r="G29" s="31">
        <v>45445</v>
      </c>
      <c r="H29" s="41">
        <v>550</v>
      </c>
    </row>
    <row r="30" spans="1:8" x14ac:dyDescent="0.3">
      <c r="A30" s="29">
        <v>1025</v>
      </c>
      <c r="B30" s="30" t="s">
        <v>95</v>
      </c>
      <c r="C30" s="30" t="s">
        <v>50</v>
      </c>
      <c r="D30" s="30" t="s">
        <v>54</v>
      </c>
      <c r="E30" s="29">
        <v>14</v>
      </c>
      <c r="F30" s="29">
        <v>10</v>
      </c>
      <c r="G30" s="31">
        <v>45475</v>
      </c>
      <c r="H30" s="41">
        <v>140</v>
      </c>
    </row>
    <row r="31" spans="1:8" x14ac:dyDescent="0.3">
      <c r="A31" s="29">
        <v>1026</v>
      </c>
      <c r="B31" s="30" t="s">
        <v>96</v>
      </c>
      <c r="C31" s="30" t="s">
        <v>53</v>
      </c>
      <c r="D31" s="30" t="s">
        <v>57</v>
      </c>
      <c r="E31" s="29">
        <v>16</v>
      </c>
      <c r="F31" s="29">
        <v>25</v>
      </c>
      <c r="G31" s="31">
        <v>45506</v>
      </c>
      <c r="H31" s="41">
        <v>400</v>
      </c>
    </row>
    <row r="32" spans="1:8" x14ac:dyDescent="0.3">
      <c r="A32" s="29">
        <v>1027</v>
      </c>
      <c r="B32" s="30" t="s">
        <v>97</v>
      </c>
      <c r="C32" s="30" t="s">
        <v>56</v>
      </c>
      <c r="D32" s="30" t="s">
        <v>61</v>
      </c>
      <c r="E32" s="29">
        <v>22</v>
      </c>
      <c r="F32" s="29">
        <v>5</v>
      </c>
      <c r="G32" s="31">
        <v>45537</v>
      </c>
      <c r="H32" s="41">
        <v>110</v>
      </c>
    </row>
    <row r="33" spans="1:8" x14ac:dyDescent="0.3">
      <c r="A33" s="29">
        <v>1028</v>
      </c>
      <c r="B33" s="30" t="s">
        <v>98</v>
      </c>
      <c r="C33" s="30" t="s">
        <v>59</v>
      </c>
      <c r="D33" s="30" t="s">
        <v>64</v>
      </c>
      <c r="E33" s="29">
        <v>27</v>
      </c>
      <c r="F33" s="29">
        <v>8</v>
      </c>
      <c r="G33" s="31">
        <v>45567</v>
      </c>
      <c r="H33" s="41">
        <v>216</v>
      </c>
    </row>
    <row r="34" spans="1:8" x14ac:dyDescent="0.3">
      <c r="A34" s="29">
        <v>1029</v>
      </c>
      <c r="B34" s="30" t="s">
        <v>99</v>
      </c>
      <c r="C34" s="30" t="s">
        <v>50</v>
      </c>
      <c r="D34" s="30" t="s">
        <v>51</v>
      </c>
      <c r="E34" s="29">
        <v>13</v>
      </c>
      <c r="F34" s="29">
        <v>50</v>
      </c>
      <c r="G34" s="31">
        <v>45628</v>
      </c>
      <c r="H34" s="41">
        <v>650</v>
      </c>
    </row>
    <row r="35" spans="1:8" x14ac:dyDescent="0.3">
      <c r="A35" s="29">
        <v>1030</v>
      </c>
      <c r="B35" s="30" t="s">
        <v>100</v>
      </c>
      <c r="C35" s="30" t="s">
        <v>53</v>
      </c>
      <c r="D35" s="30" t="s">
        <v>54</v>
      </c>
      <c r="E35" s="29">
        <v>32</v>
      </c>
      <c r="F35" s="29">
        <v>10</v>
      </c>
      <c r="G35" s="29" t="s">
        <v>101</v>
      </c>
      <c r="H35" s="41">
        <v>320</v>
      </c>
    </row>
    <row r="36" spans="1:8" x14ac:dyDescent="0.3">
      <c r="A36" s="29">
        <v>1031</v>
      </c>
      <c r="B36" s="30" t="s">
        <v>102</v>
      </c>
      <c r="C36" s="30" t="s">
        <v>56</v>
      </c>
      <c r="D36" s="30" t="s">
        <v>57</v>
      </c>
      <c r="E36" s="29">
        <v>10</v>
      </c>
      <c r="F36" s="29">
        <v>25</v>
      </c>
      <c r="G36" s="29" t="s">
        <v>103</v>
      </c>
      <c r="H36" s="41">
        <v>250</v>
      </c>
    </row>
    <row r="37" spans="1:8" x14ac:dyDescent="0.3">
      <c r="A37" s="29">
        <v>1032</v>
      </c>
      <c r="B37" s="30" t="s">
        <v>104</v>
      </c>
      <c r="C37" s="30" t="s">
        <v>59</v>
      </c>
      <c r="D37" s="30" t="s">
        <v>61</v>
      </c>
      <c r="E37" s="29">
        <v>18</v>
      </c>
      <c r="F37" s="29">
        <v>5</v>
      </c>
      <c r="G37" s="29" t="s">
        <v>105</v>
      </c>
      <c r="H37" s="41">
        <v>90</v>
      </c>
    </row>
    <row r="38" spans="1:8" x14ac:dyDescent="0.3">
      <c r="A38" s="29">
        <v>1033</v>
      </c>
      <c r="B38" s="30" t="s">
        <v>106</v>
      </c>
      <c r="C38" s="30" t="s">
        <v>50</v>
      </c>
      <c r="D38" s="30" t="s">
        <v>64</v>
      </c>
      <c r="E38" s="29">
        <v>22</v>
      </c>
      <c r="F38" s="29">
        <v>8</v>
      </c>
      <c r="G38" s="29" t="s">
        <v>107</v>
      </c>
      <c r="H38" s="41">
        <v>176</v>
      </c>
    </row>
    <row r="39" spans="1:8" x14ac:dyDescent="0.3">
      <c r="A39" s="29">
        <v>1034</v>
      </c>
      <c r="B39" s="30" t="s">
        <v>108</v>
      </c>
      <c r="C39" s="30" t="s">
        <v>53</v>
      </c>
      <c r="D39" s="30" t="s">
        <v>51</v>
      </c>
      <c r="E39" s="29">
        <v>17</v>
      </c>
      <c r="F39" s="29">
        <v>50</v>
      </c>
      <c r="G39" s="29" t="s">
        <v>109</v>
      </c>
      <c r="H39" s="41">
        <v>850</v>
      </c>
    </row>
    <row r="40" spans="1:8" x14ac:dyDescent="0.3">
      <c r="A40" s="29">
        <v>1035</v>
      </c>
      <c r="B40" s="30" t="s">
        <v>110</v>
      </c>
      <c r="C40" s="30" t="s">
        <v>56</v>
      </c>
      <c r="D40" s="30" t="s">
        <v>54</v>
      </c>
      <c r="E40" s="29">
        <v>19</v>
      </c>
      <c r="F40" s="29">
        <v>10</v>
      </c>
      <c r="G40" s="29" t="s">
        <v>111</v>
      </c>
      <c r="H40" s="41">
        <v>190</v>
      </c>
    </row>
    <row r="41" spans="1:8" x14ac:dyDescent="0.3">
      <c r="A41" s="29">
        <v>1036</v>
      </c>
      <c r="B41" s="30" t="s">
        <v>112</v>
      </c>
      <c r="C41" s="30" t="s">
        <v>59</v>
      </c>
      <c r="D41" s="30" t="s">
        <v>57</v>
      </c>
      <c r="E41" s="29">
        <v>15</v>
      </c>
      <c r="F41" s="29">
        <v>25</v>
      </c>
      <c r="G41" s="29" t="s">
        <v>113</v>
      </c>
      <c r="H41" s="41">
        <v>375</v>
      </c>
    </row>
    <row r="42" spans="1:8" x14ac:dyDescent="0.3">
      <c r="A42" s="29">
        <v>1037</v>
      </c>
      <c r="B42" s="30" t="s">
        <v>114</v>
      </c>
      <c r="C42" s="30" t="s">
        <v>50</v>
      </c>
      <c r="D42" s="30" t="s">
        <v>61</v>
      </c>
      <c r="E42" s="29">
        <v>28</v>
      </c>
      <c r="F42" s="29">
        <v>5</v>
      </c>
      <c r="G42" s="29" t="s">
        <v>115</v>
      </c>
      <c r="H42" s="41">
        <v>140</v>
      </c>
    </row>
    <row r="43" spans="1:8" x14ac:dyDescent="0.3">
      <c r="A43" s="29">
        <v>1038</v>
      </c>
      <c r="B43" s="30" t="s">
        <v>116</v>
      </c>
      <c r="C43" s="30" t="s">
        <v>53</v>
      </c>
      <c r="D43" s="30" t="s">
        <v>64</v>
      </c>
      <c r="E43" s="29">
        <v>24</v>
      </c>
      <c r="F43" s="29">
        <v>8</v>
      </c>
      <c r="G43" s="29" t="s">
        <v>117</v>
      </c>
      <c r="H43" s="41">
        <v>192</v>
      </c>
    </row>
    <row r="44" spans="1:8" x14ac:dyDescent="0.3">
      <c r="A44" s="29">
        <v>1039</v>
      </c>
      <c r="B44" s="30" t="s">
        <v>118</v>
      </c>
      <c r="C44" s="30" t="s">
        <v>56</v>
      </c>
      <c r="D44" s="30" t="s">
        <v>51</v>
      </c>
      <c r="E44" s="29">
        <v>16</v>
      </c>
      <c r="F44" s="29">
        <v>50</v>
      </c>
      <c r="G44" s="29" t="s">
        <v>119</v>
      </c>
      <c r="H44" s="41">
        <v>800</v>
      </c>
    </row>
    <row r="45" spans="1:8" x14ac:dyDescent="0.3">
      <c r="A45" s="29">
        <v>1040</v>
      </c>
      <c r="B45" s="30" t="s">
        <v>120</v>
      </c>
      <c r="C45" s="30" t="s">
        <v>59</v>
      </c>
      <c r="D45" s="30" t="s">
        <v>54</v>
      </c>
      <c r="E45" s="29">
        <v>27</v>
      </c>
      <c r="F45" s="29">
        <v>10</v>
      </c>
      <c r="G45" s="29" t="s">
        <v>121</v>
      </c>
      <c r="H45" s="41">
        <v>270</v>
      </c>
    </row>
    <row r="46" spans="1:8" x14ac:dyDescent="0.3">
      <c r="A46" s="29">
        <v>1041</v>
      </c>
      <c r="B46" s="30" t="s">
        <v>122</v>
      </c>
      <c r="C46" s="30" t="s">
        <v>50</v>
      </c>
      <c r="D46" s="30" t="s">
        <v>57</v>
      </c>
      <c r="E46" s="29">
        <v>21</v>
      </c>
      <c r="F46" s="29">
        <v>25</v>
      </c>
      <c r="G46" s="29" t="s">
        <v>123</v>
      </c>
      <c r="H46" s="41">
        <v>525</v>
      </c>
    </row>
    <row r="47" spans="1:8" x14ac:dyDescent="0.3">
      <c r="A47" s="29">
        <v>1042</v>
      </c>
      <c r="B47" s="30" t="s">
        <v>124</v>
      </c>
      <c r="C47" s="30" t="s">
        <v>53</v>
      </c>
      <c r="D47" s="30" t="s">
        <v>61</v>
      </c>
      <c r="E47" s="29">
        <v>30</v>
      </c>
      <c r="F47" s="29">
        <v>5</v>
      </c>
      <c r="G47" s="29" t="s">
        <v>125</v>
      </c>
      <c r="H47" s="41">
        <v>150</v>
      </c>
    </row>
    <row r="48" spans="1:8" x14ac:dyDescent="0.3">
      <c r="A48" s="29">
        <v>1043</v>
      </c>
      <c r="B48" s="30" t="s">
        <v>126</v>
      </c>
      <c r="C48" s="30" t="s">
        <v>56</v>
      </c>
      <c r="D48" s="30" t="s">
        <v>64</v>
      </c>
      <c r="E48" s="29">
        <v>26</v>
      </c>
      <c r="F48" s="29">
        <v>8</v>
      </c>
      <c r="G48" s="31">
        <v>45294</v>
      </c>
      <c r="H48" s="41">
        <v>208</v>
      </c>
    </row>
    <row r="49" spans="1:8" x14ac:dyDescent="0.3">
      <c r="A49" s="29">
        <v>1044</v>
      </c>
      <c r="B49" s="30" t="s">
        <v>127</v>
      </c>
      <c r="C49" s="30" t="s">
        <v>59</v>
      </c>
      <c r="D49" s="30" t="s">
        <v>51</v>
      </c>
      <c r="E49" s="29">
        <v>14</v>
      </c>
      <c r="F49" s="29">
        <v>50</v>
      </c>
      <c r="G49" s="31">
        <v>45325</v>
      </c>
      <c r="H49" s="41">
        <v>700</v>
      </c>
    </row>
    <row r="50" spans="1:8" x14ac:dyDescent="0.3">
      <c r="A50" s="29">
        <v>1045</v>
      </c>
      <c r="B50" s="30" t="s">
        <v>128</v>
      </c>
      <c r="C50" s="30" t="s">
        <v>50</v>
      </c>
      <c r="D50" s="30" t="s">
        <v>54</v>
      </c>
      <c r="E50" s="29">
        <v>20</v>
      </c>
      <c r="F50" s="29">
        <v>10</v>
      </c>
      <c r="G50" s="31">
        <v>45354</v>
      </c>
      <c r="H50" s="41">
        <v>200</v>
      </c>
    </row>
    <row r="51" spans="1:8" x14ac:dyDescent="0.3">
      <c r="A51" s="29">
        <v>1046</v>
      </c>
      <c r="B51" s="30" t="s">
        <v>129</v>
      </c>
      <c r="C51" s="30" t="s">
        <v>53</v>
      </c>
      <c r="D51" s="30" t="s">
        <v>57</v>
      </c>
      <c r="E51" s="29">
        <v>17</v>
      </c>
      <c r="F51" s="29">
        <v>25</v>
      </c>
      <c r="G51" s="31">
        <v>45385</v>
      </c>
      <c r="H51" s="41">
        <v>425</v>
      </c>
    </row>
    <row r="52" spans="1:8" x14ac:dyDescent="0.3">
      <c r="A52" s="29">
        <v>1047</v>
      </c>
      <c r="B52" s="30" t="s">
        <v>130</v>
      </c>
      <c r="C52" s="30" t="s">
        <v>56</v>
      </c>
      <c r="D52" s="30" t="s">
        <v>61</v>
      </c>
      <c r="E52" s="29">
        <v>19</v>
      </c>
      <c r="F52" s="29">
        <v>5</v>
      </c>
      <c r="G52" s="31">
        <v>45415</v>
      </c>
      <c r="H52" s="41">
        <v>95</v>
      </c>
    </row>
    <row r="53" spans="1:8" x14ac:dyDescent="0.3">
      <c r="A53" s="29">
        <v>1048</v>
      </c>
      <c r="B53" s="30" t="s">
        <v>131</v>
      </c>
      <c r="C53" s="30" t="s">
        <v>59</v>
      </c>
      <c r="D53" s="30" t="s">
        <v>64</v>
      </c>
      <c r="E53" s="29">
        <v>32</v>
      </c>
      <c r="F53" s="29">
        <v>8</v>
      </c>
      <c r="G53" s="31">
        <v>45446</v>
      </c>
      <c r="H53" s="41">
        <v>256</v>
      </c>
    </row>
    <row r="54" spans="1:8" x14ac:dyDescent="0.3">
      <c r="A54" s="29">
        <v>1049</v>
      </c>
      <c r="B54" s="30" t="s">
        <v>132</v>
      </c>
      <c r="C54" s="30" t="s">
        <v>50</v>
      </c>
      <c r="D54" s="30" t="s">
        <v>51</v>
      </c>
      <c r="E54" s="29">
        <v>12</v>
      </c>
      <c r="F54" s="29">
        <v>50</v>
      </c>
      <c r="G54" s="31">
        <v>45476</v>
      </c>
      <c r="H54" s="41">
        <v>600</v>
      </c>
    </row>
    <row r="55" spans="1:8" x14ac:dyDescent="0.3">
      <c r="A55" s="29">
        <v>1050</v>
      </c>
      <c r="B55" s="30" t="s">
        <v>133</v>
      </c>
      <c r="C55" s="30" t="s">
        <v>53</v>
      </c>
      <c r="D55" s="30" t="s">
        <v>54</v>
      </c>
      <c r="E55" s="29">
        <v>25</v>
      </c>
      <c r="F55" s="29">
        <v>10</v>
      </c>
      <c r="G55" s="31">
        <v>45507</v>
      </c>
      <c r="H55" s="41">
        <v>250</v>
      </c>
    </row>
  </sheetData>
  <mergeCells count="1">
    <mergeCell ref="B1:L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4"/>
  <sheetViews>
    <sheetView workbookViewId="0">
      <selection sqref="A1:XFD1"/>
    </sheetView>
  </sheetViews>
  <sheetFormatPr defaultRowHeight="14.4" x14ac:dyDescent="0.3"/>
  <cols>
    <col min="2" max="2" width="12.5546875" customWidth="1"/>
    <col min="7" max="7" width="15.5546875" customWidth="1"/>
    <col min="13" max="13" width="21.5546875" customWidth="1"/>
  </cols>
  <sheetData>
    <row r="1" spans="1:13" s="55" customFormat="1" ht="15.6" x14ac:dyDescent="0.3">
      <c r="B1" s="61" t="s">
        <v>142</v>
      </c>
      <c r="C1" s="61"/>
      <c r="D1" s="61"/>
      <c r="E1" s="61"/>
      <c r="F1" s="61"/>
      <c r="G1" s="61"/>
      <c r="H1" s="61"/>
      <c r="I1" s="61"/>
    </row>
    <row r="2" spans="1:13" x14ac:dyDescent="0.3">
      <c r="A2" s="38"/>
      <c r="B2" s="38"/>
      <c r="C2" s="38"/>
      <c r="D2" s="38"/>
      <c r="E2" s="38"/>
      <c r="F2" s="38"/>
      <c r="G2" s="38"/>
      <c r="H2" s="38"/>
      <c r="I2" s="38"/>
    </row>
    <row r="3" spans="1:13" x14ac:dyDescent="0.3">
      <c r="A3" s="38"/>
      <c r="B3" s="38"/>
      <c r="C3" s="38"/>
      <c r="D3" s="38"/>
      <c r="E3" s="38"/>
      <c r="F3" s="38"/>
      <c r="G3" s="38"/>
      <c r="H3" s="38"/>
      <c r="I3" s="38"/>
    </row>
    <row r="4" spans="1:13" x14ac:dyDescent="0.3">
      <c r="A4" s="28" t="s">
        <v>42</v>
      </c>
      <c r="B4" s="28" t="s">
        <v>43</v>
      </c>
      <c r="C4" s="28" t="s">
        <v>44</v>
      </c>
      <c r="D4" s="28" t="s">
        <v>45</v>
      </c>
      <c r="E4" s="28" t="s">
        <v>46</v>
      </c>
      <c r="F4" s="28" t="s">
        <v>47</v>
      </c>
      <c r="G4" s="28" t="s">
        <v>48</v>
      </c>
      <c r="H4" s="40" t="s">
        <v>140</v>
      </c>
      <c r="I4" s="38"/>
      <c r="J4" s="45" t="s">
        <v>136</v>
      </c>
      <c r="L4" s="46" t="s">
        <v>45</v>
      </c>
      <c r="M4" s="47" t="s">
        <v>143</v>
      </c>
    </row>
    <row r="5" spans="1:13" x14ac:dyDescent="0.3">
      <c r="A5" s="29">
        <v>1001</v>
      </c>
      <c r="B5" s="30" t="s">
        <v>49</v>
      </c>
      <c r="C5" s="30" t="s">
        <v>50</v>
      </c>
      <c r="D5" s="30" t="s">
        <v>51</v>
      </c>
      <c r="E5" s="29">
        <v>10</v>
      </c>
      <c r="F5" s="29">
        <v>50</v>
      </c>
      <c r="G5" s="31">
        <v>45413</v>
      </c>
      <c r="H5" s="41">
        <v>500</v>
      </c>
      <c r="I5" s="38"/>
      <c r="L5" s="30" t="s">
        <v>51</v>
      </c>
      <c r="M5" s="3">
        <f>SUMIF(D5:D54,"Notebook",H5:H54)</f>
        <v>7550</v>
      </c>
    </row>
    <row r="6" spans="1:13" x14ac:dyDescent="0.3">
      <c r="A6" s="29">
        <v>1002</v>
      </c>
      <c r="B6" s="30" t="s">
        <v>52</v>
      </c>
      <c r="C6" s="30" t="s">
        <v>53</v>
      </c>
      <c r="D6" s="30" t="s">
        <v>54</v>
      </c>
      <c r="E6" s="29">
        <v>20</v>
      </c>
      <c r="F6" s="29">
        <v>10</v>
      </c>
      <c r="G6" s="31">
        <v>45444</v>
      </c>
      <c r="H6" s="41">
        <v>200</v>
      </c>
      <c r="I6" s="38"/>
      <c r="L6" s="30" t="s">
        <v>54</v>
      </c>
      <c r="M6" s="3">
        <f>SUMIF(D5:D54,"Pen",H5:H54)</f>
        <v>2180</v>
      </c>
    </row>
    <row r="7" spans="1:13" x14ac:dyDescent="0.3">
      <c r="A7" s="29">
        <v>1003</v>
      </c>
      <c r="B7" s="30" t="s">
        <v>55</v>
      </c>
      <c r="C7" s="30" t="s">
        <v>56</v>
      </c>
      <c r="D7" s="30" t="s">
        <v>57</v>
      </c>
      <c r="E7" s="29">
        <v>15</v>
      </c>
      <c r="F7" s="29">
        <v>25</v>
      </c>
      <c r="G7" s="31">
        <v>45474</v>
      </c>
      <c r="H7" s="41">
        <v>375</v>
      </c>
      <c r="I7" s="38"/>
      <c r="L7" s="30" t="s">
        <v>57</v>
      </c>
      <c r="M7" s="3">
        <f>SUMIF(D5:D54,"Marker",H5:H54)</f>
        <v>3650</v>
      </c>
    </row>
    <row r="8" spans="1:13" x14ac:dyDescent="0.3">
      <c r="A8" s="29">
        <v>1004</v>
      </c>
      <c r="B8" s="30" t="s">
        <v>58</v>
      </c>
      <c r="C8" s="30" t="s">
        <v>59</v>
      </c>
      <c r="D8" s="30" t="s">
        <v>51</v>
      </c>
      <c r="E8" s="29">
        <v>5</v>
      </c>
      <c r="F8" s="29">
        <v>50</v>
      </c>
      <c r="G8" s="31">
        <v>45505</v>
      </c>
      <c r="H8" s="41">
        <v>250</v>
      </c>
      <c r="I8" s="38"/>
      <c r="L8" s="30" t="s">
        <v>61</v>
      </c>
      <c r="M8" s="3">
        <f>SUMIF(D5:D54,"Pencil",H5:H54)</f>
        <v>1235</v>
      </c>
    </row>
    <row r="9" spans="1:13" x14ac:dyDescent="0.3">
      <c r="A9" s="29">
        <v>1005</v>
      </c>
      <c r="B9" s="30" t="s">
        <v>60</v>
      </c>
      <c r="C9" s="30" t="s">
        <v>50</v>
      </c>
      <c r="D9" s="30" t="s">
        <v>61</v>
      </c>
      <c r="E9" s="29">
        <v>30</v>
      </c>
      <c r="F9" s="29">
        <v>5</v>
      </c>
      <c r="G9" s="31">
        <v>45566</v>
      </c>
      <c r="H9" s="41">
        <v>150</v>
      </c>
      <c r="I9" s="38"/>
      <c r="L9" s="30" t="s">
        <v>64</v>
      </c>
      <c r="M9" s="3">
        <f>SUMIF(D5:D54,"Eraser",H5:H54)</f>
        <v>1928</v>
      </c>
    </row>
    <row r="10" spans="1:13" x14ac:dyDescent="0.3">
      <c r="A10" s="29">
        <v>1006</v>
      </c>
      <c r="B10" s="30" t="s">
        <v>62</v>
      </c>
      <c r="C10" s="30" t="s">
        <v>53</v>
      </c>
      <c r="D10" s="30" t="s">
        <v>51</v>
      </c>
      <c r="E10" s="29">
        <v>12</v>
      </c>
      <c r="F10" s="29">
        <v>50</v>
      </c>
      <c r="G10" s="31">
        <v>45597</v>
      </c>
      <c r="H10" s="41">
        <v>600</v>
      </c>
      <c r="I10" s="38"/>
    </row>
    <row r="11" spans="1:13" x14ac:dyDescent="0.3">
      <c r="A11" s="29">
        <v>1007</v>
      </c>
      <c r="B11" s="30" t="s">
        <v>63</v>
      </c>
      <c r="C11" s="30" t="s">
        <v>56</v>
      </c>
      <c r="D11" s="30" t="s">
        <v>64</v>
      </c>
      <c r="E11" s="29">
        <v>25</v>
      </c>
      <c r="F11" s="29">
        <v>8</v>
      </c>
      <c r="G11" s="29" t="s">
        <v>65</v>
      </c>
      <c r="H11" s="41">
        <v>200</v>
      </c>
      <c r="I11" s="38"/>
    </row>
    <row r="12" spans="1:13" x14ac:dyDescent="0.3">
      <c r="A12" s="29">
        <v>1008</v>
      </c>
      <c r="B12" s="30" t="s">
        <v>66</v>
      </c>
      <c r="C12" s="30" t="s">
        <v>59</v>
      </c>
      <c r="D12" s="30" t="s">
        <v>54</v>
      </c>
      <c r="E12" s="29">
        <v>18</v>
      </c>
      <c r="F12" s="29">
        <v>10</v>
      </c>
      <c r="G12" s="29" t="s">
        <v>67</v>
      </c>
      <c r="H12" s="41">
        <v>180</v>
      </c>
      <c r="I12" s="38"/>
    </row>
    <row r="13" spans="1:13" x14ac:dyDescent="0.3">
      <c r="A13" s="29">
        <v>1009</v>
      </c>
      <c r="B13" s="30" t="s">
        <v>68</v>
      </c>
      <c r="C13" s="30" t="s">
        <v>50</v>
      </c>
      <c r="D13" s="30" t="s">
        <v>57</v>
      </c>
      <c r="E13" s="29">
        <v>22</v>
      </c>
      <c r="F13" s="29">
        <v>25</v>
      </c>
      <c r="G13" s="29" t="s">
        <v>69</v>
      </c>
      <c r="H13" s="41">
        <v>550</v>
      </c>
      <c r="I13" s="38"/>
    </row>
    <row r="14" spans="1:13" x14ac:dyDescent="0.3">
      <c r="A14" s="29">
        <v>1010</v>
      </c>
      <c r="B14" s="30" t="s">
        <v>70</v>
      </c>
      <c r="C14" s="30" t="s">
        <v>53</v>
      </c>
      <c r="D14" s="30" t="s">
        <v>51</v>
      </c>
      <c r="E14" s="29">
        <v>8</v>
      </c>
      <c r="F14" s="29">
        <v>50</v>
      </c>
      <c r="G14" s="29" t="s">
        <v>71</v>
      </c>
      <c r="H14" s="41">
        <v>400</v>
      </c>
      <c r="I14" s="38"/>
    </row>
    <row r="15" spans="1:13" x14ac:dyDescent="0.3">
      <c r="A15" s="29">
        <v>1011</v>
      </c>
      <c r="B15" s="30" t="s">
        <v>72</v>
      </c>
      <c r="C15" s="30" t="s">
        <v>56</v>
      </c>
      <c r="D15" s="30" t="s">
        <v>61</v>
      </c>
      <c r="E15" s="29">
        <v>40</v>
      </c>
      <c r="F15" s="29">
        <v>5</v>
      </c>
      <c r="G15" s="29" t="s">
        <v>73</v>
      </c>
      <c r="H15" s="41">
        <v>200</v>
      </c>
      <c r="I15" s="38"/>
    </row>
    <row r="16" spans="1:13" x14ac:dyDescent="0.3">
      <c r="A16" s="29">
        <v>1012</v>
      </c>
      <c r="B16" s="30" t="s">
        <v>74</v>
      </c>
      <c r="C16" s="30" t="s">
        <v>59</v>
      </c>
      <c r="D16" s="30" t="s">
        <v>64</v>
      </c>
      <c r="E16" s="29">
        <v>35</v>
      </c>
      <c r="F16" s="29">
        <v>8</v>
      </c>
      <c r="G16" s="29" t="s">
        <v>75</v>
      </c>
      <c r="H16" s="41">
        <v>280</v>
      </c>
      <c r="I16" s="38"/>
    </row>
    <row r="17" spans="1:9" x14ac:dyDescent="0.3">
      <c r="A17" s="29">
        <v>1013</v>
      </c>
      <c r="B17" s="30" t="s">
        <v>76</v>
      </c>
      <c r="C17" s="30" t="s">
        <v>50</v>
      </c>
      <c r="D17" s="30" t="s">
        <v>51</v>
      </c>
      <c r="E17" s="29">
        <v>14</v>
      </c>
      <c r="F17" s="29">
        <v>50</v>
      </c>
      <c r="G17" s="29" t="s">
        <v>77</v>
      </c>
      <c r="H17" s="41">
        <v>700</v>
      </c>
      <c r="I17" s="38"/>
    </row>
    <row r="18" spans="1:9" x14ac:dyDescent="0.3">
      <c r="A18" s="29">
        <v>1014</v>
      </c>
      <c r="B18" s="30" t="s">
        <v>78</v>
      </c>
      <c r="C18" s="30" t="s">
        <v>53</v>
      </c>
      <c r="D18" s="30" t="s">
        <v>54</v>
      </c>
      <c r="E18" s="29">
        <v>28</v>
      </c>
      <c r="F18" s="29">
        <v>10</v>
      </c>
      <c r="G18" s="29" t="s">
        <v>79</v>
      </c>
      <c r="H18" s="41">
        <v>280</v>
      </c>
      <c r="I18" s="38"/>
    </row>
    <row r="19" spans="1:9" x14ac:dyDescent="0.3">
      <c r="A19" s="29">
        <v>1015</v>
      </c>
      <c r="B19" s="30" t="s">
        <v>80</v>
      </c>
      <c r="C19" s="30" t="s">
        <v>56</v>
      </c>
      <c r="D19" s="30" t="s">
        <v>57</v>
      </c>
      <c r="E19" s="29">
        <v>12</v>
      </c>
      <c r="F19" s="29">
        <v>25</v>
      </c>
      <c r="G19" s="29" t="s">
        <v>81</v>
      </c>
      <c r="H19" s="41">
        <v>300</v>
      </c>
      <c r="I19" s="38"/>
    </row>
    <row r="20" spans="1:9" x14ac:dyDescent="0.3">
      <c r="A20" s="29">
        <v>1016</v>
      </c>
      <c r="B20" s="30" t="s">
        <v>82</v>
      </c>
      <c r="C20" s="30" t="s">
        <v>59</v>
      </c>
      <c r="D20" s="30" t="s">
        <v>61</v>
      </c>
      <c r="E20" s="29">
        <v>25</v>
      </c>
      <c r="F20" s="29">
        <v>5</v>
      </c>
      <c r="G20" s="29" t="s">
        <v>83</v>
      </c>
      <c r="H20" s="41">
        <v>125</v>
      </c>
      <c r="I20" s="38"/>
    </row>
    <row r="21" spans="1:9" x14ac:dyDescent="0.3">
      <c r="A21" s="29">
        <v>1017</v>
      </c>
      <c r="B21" s="30" t="s">
        <v>84</v>
      </c>
      <c r="C21" s="30" t="s">
        <v>50</v>
      </c>
      <c r="D21" s="30" t="s">
        <v>64</v>
      </c>
      <c r="E21" s="29">
        <v>20</v>
      </c>
      <c r="F21" s="29">
        <v>8</v>
      </c>
      <c r="G21" s="29" t="s">
        <v>85</v>
      </c>
      <c r="H21" s="41">
        <v>160</v>
      </c>
      <c r="I21" s="38"/>
    </row>
    <row r="22" spans="1:9" x14ac:dyDescent="0.3">
      <c r="A22" s="29">
        <v>1018</v>
      </c>
      <c r="B22" s="30" t="s">
        <v>86</v>
      </c>
      <c r="C22" s="30" t="s">
        <v>53</v>
      </c>
      <c r="D22" s="30" t="s">
        <v>51</v>
      </c>
      <c r="E22" s="29">
        <v>10</v>
      </c>
      <c r="F22" s="29">
        <v>50</v>
      </c>
      <c r="G22" s="29" t="s">
        <v>87</v>
      </c>
      <c r="H22" s="41">
        <v>500</v>
      </c>
      <c r="I22" s="38"/>
    </row>
    <row r="23" spans="1:9" x14ac:dyDescent="0.3">
      <c r="A23" s="29">
        <v>1019</v>
      </c>
      <c r="B23" s="30" t="s">
        <v>88</v>
      </c>
      <c r="C23" s="30" t="s">
        <v>56</v>
      </c>
      <c r="D23" s="30" t="s">
        <v>54</v>
      </c>
      <c r="E23" s="29">
        <v>15</v>
      </c>
      <c r="F23" s="29">
        <v>10</v>
      </c>
      <c r="G23" s="29" t="s">
        <v>89</v>
      </c>
      <c r="H23" s="41">
        <v>150</v>
      </c>
      <c r="I23" s="38"/>
    </row>
    <row r="24" spans="1:9" x14ac:dyDescent="0.3">
      <c r="A24" s="29">
        <v>1020</v>
      </c>
      <c r="B24" s="30" t="s">
        <v>90</v>
      </c>
      <c r="C24" s="30" t="s">
        <v>59</v>
      </c>
      <c r="D24" s="30" t="s">
        <v>57</v>
      </c>
      <c r="E24" s="29">
        <v>18</v>
      </c>
      <c r="F24" s="29">
        <v>25</v>
      </c>
      <c r="G24" s="31">
        <v>45293</v>
      </c>
      <c r="H24" s="41">
        <v>450</v>
      </c>
      <c r="I24" s="38"/>
    </row>
    <row r="25" spans="1:9" x14ac:dyDescent="0.3">
      <c r="A25" s="29">
        <v>1021</v>
      </c>
      <c r="B25" s="30" t="s">
        <v>91</v>
      </c>
      <c r="C25" s="30" t="s">
        <v>50</v>
      </c>
      <c r="D25" s="30" t="s">
        <v>51</v>
      </c>
      <c r="E25" s="29">
        <v>9</v>
      </c>
      <c r="F25" s="29">
        <v>50</v>
      </c>
      <c r="G25" s="31">
        <v>45324</v>
      </c>
      <c r="H25" s="41">
        <v>450</v>
      </c>
      <c r="I25" s="38"/>
    </row>
    <row r="26" spans="1:9" x14ac:dyDescent="0.3">
      <c r="A26" s="29">
        <v>1022</v>
      </c>
      <c r="B26" s="30" t="s">
        <v>92</v>
      </c>
      <c r="C26" s="30" t="s">
        <v>53</v>
      </c>
      <c r="D26" s="30" t="s">
        <v>61</v>
      </c>
      <c r="E26" s="29">
        <v>35</v>
      </c>
      <c r="F26" s="29">
        <v>5</v>
      </c>
      <c r="G26" s="31">
        <v>45353</v>
      </c>
      <c r="H26" s="41">
        <v>175</v>
      </c>
      <c r="I26" s="38"/>
    </row>
    <row r="27" spans="1:9" x14ac:dyDescent="0.3">
      <c r="A27" s="29">
        <v>1023</v>
      </c>
      <c r="B27" s="30" t="s">
        <v>93</v>
      </c>
      <c r="C27" s="30" t="s">
        <v>56</v>
      </c>
      <c r="D27" s="30" t="s">
        <v>64</v>
      </c>
      <c r="E27" s="29">
        <v>30</v>
      </c>
      <c r="F27" s="29">
        <v>8</v>
      </c>
      <c r="G27" s="31">
        <v>45384</v>
      </c>
      <c r="H27" s="41">
        <v>240</v>
      </c>
      <c r="I27" s="38"/>
    </row>
    <row r="28" spans="1:9" x14ac:dyDescent="0.3">
      <c r="A28" s="29">
        <v>1024</v>
      </c>
      <c r="B28" s="30" t="s">
        <v>94</v>
      </c>
      <c r="C28" s="30" t="s">
        <v>59</v>
      </c>
      <c r="D28" s="30" t="s">
        <v>51</v>
      </c>
      <c r="E28" s="29">
        <v>11</v>
      </c>
      <c r="F28" s="29">
        <v>50</v>
      </c>
      <c r="G28" s="31">
        <v>45445</v>
      </c>
      <c r="H28" s="41">
        <v>550</v>
      </c>
      <c r="I28" s="38"/>
    </row>
    <row r="29" spans="1:9" x14ac:dyDescent="0.3">
      <c r="A29" s="29">
        <v>1025</v>
      </c>
      <c r="B29" s="30" t="s">
        <v>95</v>
      </c>
      <c r="C29" s="30" t="s">
        <v>50</v>
      </c>
      <c r="D29" s="30" t="s">
        <v>54</v>
      </c>
      <c r="E29" s="29">
        <v>14</v>
      </c>
      <c r="F29" s="29">
        <v>10</v>
      </c>
      <c r="G29" s="31">
        <v>45475</v>
      </c>
      <c r="H29" s="41">
        <v>140</v>
      </c>
      <c r="I29" s="38"/>
    </row>
    <row r="30" spans="1:9" x14ac:dyDescent="0.3">
      <c r="A30" s="29">
        <v>1026</v>
      </c>
      <c r="B30" s="30" t="s">
        <v>96</v>
      </c>
      <c r="C30" s="30" t="s">
        <v>53</v>
      </c>
      <c r="D30" s="30" t="s">
        <v>57</v>
      </c>
      <c r="E30" s="29">
        <v>16</v>
      </c>
      <c r="F30" s="29">
        <v>25</v>
      </c>
      <c r="G30" s="31">
        <v>45506</v>
      </c>
      <c r="H30" s="41">
        <v>400</v>
      </c>
      <c r="I30" s="38"/>
    </row>
    <row r="31" spans="1:9" x14ac:dyDescent="0.3">
      <c r="A31" s="29">
        <v>1027</v>
      </c>
      <c r="B31" s="30" t="s">
        <v>97</v>
      </c>
      <c r="C31" s="30" t="s">
        <v>56</v>
      </c>
      <c r="D31" s="30" t="s">
        <v>61</v>
      </c>
      <c r="E31" s="29">
        <v>22</v>
      </c>
      <c r="F31" s="29">
        <v>5</v>
      </c>
      <c r="G31" s="31">
        <v>45537</v>
      </c>
      <c r="H31" s="41">
        <v>110</v>
      </c>
      <c r="I31" s="38"/>
    </row>
    <row r="32" spans="1:9" x14ac:dyDescent="0.3">
      <c r="A32" s="29">
        <v>1028</v>
      </c>
      <c r="B32" s="30" t="s">
        <v>98</v>
      </c>
      <c r="C32" s="30" t="s">
        <v>59</v>
      </c>
      <c r="D32" s="30" t="s">
        <v>64</v>
      </c>
      <c r="E32" s="29">
        <v>27</v>
      </c>
      <c r="F32" s="29">
        <v>8</v>
      </c>
      <c r="G32" s="31">
        <v>45567</v>
      </c>
      <c r="H32" s="41">
        <v>216</v>
      </c>
      <c r="I32" s="38"/>
    </row>
    <row r="33" spans="1:9" x14ac:dyDescent="0.3">
      <c r="A33" s="29">
        <v>1029</v>
      </c>
      <c r="B33" s="30" t="s">
        <v>99</v>
      </c>
      <c r="C33" s="30" t="s">
        <v>50</v>
      </c>
      <c r="D33" s="30" t="s">
        <v>51</v>
      </c>
      <c r="E33" s="29">
        <v>13</v>
      </c>
      <c r="F33" s="29">
        <v>50</v>
      </c>
      <c r="G33" s="31">
        <v>45628</v>
      </c>
      <c r="H33" s="41">
        <v>650</v>
      </c>
      <c r="I33" s="38"/>
    </row>
    <row r="34" spans="1:9" x14ac:dyDescent="0.3">
      <c r="A34" s="29">
        <v>1030</v>
      </c>
      <c r="B34" s="30" t="s">
        <v>100</v>
      </c>
      <c r="C34" s="30" t="s">
        <v>53</v>
      </c>
      <c r="D34" s="30" t="s">
        <v>54</v>
      </c>
      <c r="E34" s="29">
        <v>32</v>
      </c>
      <c r="F34" s="29">
        <v>10</v>
      </c>
      <c r="G34" s="29" t="s">
        <v>101</v>
      </c>
      <c r="H34" s="41">
        <v>320</v>
      </c>
      <c r="I34" s="38"/>
    </row>
    <row r="35" spans="1:9" x14ac:dyDescent="0.3">
      <c r="A35" s="29">
        <v>1031</v>
      </c>
      <c r="B35" s="30" t="s">
        <v>102</v>
      </c>
      <c r="C35" s="30" t="s">
        <v>56</v>
      </c>
      <c r="D35" s="30" t="s">
        <v>57</v>
      </c>
      <c r="E35" s="29">
        <v>10</v>
      </c>
      <c r="F35" s="29">
        <v>25</v>
      </c>
      <c r="G35" s="29" t="s">
        <v>103</v>
      </c>
      <c r="H35" s="41">
        <v>250</v>
      </c>
      <c r="I35" s="38"/>
    </row>
    <row r="36" spans="1:9" x14ac:dyDescent="0.3">
      <c r="A36" s="29">
        <v>1032</v>
      </c>
      <c r="B36" s="30" t="s">
        <v>104</v>
      </c>
      <c r="C36" s="30" t="s">
        <v>59</v>
      </c>
      <c r="D36" s="30" t="s">
        <v>61</v>
      </c>
      <c r="E36" s="29">
        <v>18</v>
      </c>
      <c r="F36" s="29">
        <v>5</v>
      </c>
      <c r="G36" s="29" t="s">
        <v>105</v>
      </c>
      <c r="H36" s="41">
        <v>90</v>
      </c>
      <c r="I36" s="38"/>
    </row>
    <row r="37" spans="1:9" x14ac:dyDescent="0.3">
      <c r="A37" s="29">
        <v>1033</v>
      </c>
      <c r="B37" s="30" t="s">
        <v>106</v>
      </c>
      <c r="C37" s="30" t="s">
        <v>50</v>
      </c>
      <c r="D37" s="30" t="s">
        <v>64</v>
      </c>
      <c r="E37" s="29">
        <v>22</v>
      </c>
      <c r="F37" s="29">
        <v>8</v>
      </c>
      <c r="G37" s="29" t="s">
        <v>107</v>
      </c>
      <c r="H37" s="41">
        <v>176</v>
      </c>
      <c r="I37" s="38"/>
    </row>
    <row r="38" spans="1:9" x14ac:dyDescent="0.3">
      <c r="A38" s="29">
        <v>1034</v>
      </c>
      <c r="B38" s="30" t="s">
        <v>108</v>
      </c>
      <c r="C38" s="30" t="s">
        <v>53</v>
      </c>
      <c r="D38" s="30" t="s">
        <v>51</v>
      </c>
      <c r="E38" s="29">
        <v>17</v>
      </c>
      <c r="F38" s="29">
        <v>50</v>
      </c>
      <c r="G38" s="29" t="s">
        <v>109</v>
      </c>
      <c r="H38" s="41">
        <v>850</v>
      </c>
      <c r="I38" s="38"/>
    </row>
    <row r="39" spans="1:9" x14ac:dyDescent="0.3">
      <c r="A39" s="29">
        <v>1035</v>
      </c>
      <c r="B39" s="30" t="s">
        <v>110</v>
      </c>
      <c r="C39" s="30" t="s">
        <v>56</v>
      </c>
      <c r="D39" s="30" t="s">
        <v>54</v>
      </c>
      <c r="E39" s="29">
        <v>19</v>
      </c>
      <c r="F39" s="29">
        <v>10</v>
      </c>
      <c r="G39" s="29" t="s">
        <v>111</v>
      </c>
      <c r="H39" s="41">
        <v>190</v>
      </c>
      <c r="I39" s="38"/>
    </row>
    <row r="40" spans="1:9" x14ac:dyDescent="0.3">
      <c r="A40" s="29">
        <v>1036</v>
      </c>
      <c r="B40" s="30" t="s">
        <v>112</v>
      </c>
      <c r="C40" s="30" t="s">
        <v>59</v>
      </c>
      <c r="D40" s="30" t="s">
        <v>57</v>
      </c>
      <c r="E40" s="29">
        <v>15</v>
      </c>
      <c r="F40" s="29">
        <v>25</v>
      </c>
      <c r="G40" s="29" t="s">
        <v>113</v>
      </c>
      <c r="H40" s="41">
        <v>375</v>
      </c>
      <c r="I40" s="38"/>
    </row>
    <row r="41" spans="1:9" x14ac:dyDescent="0.3">
      <c r="A41" s="29">
        <v>1037</v>
      </c>
      <c r="B41" s="30" t="s">
        <v>114</v>
      </c>
      <c r="C41" s="30" t="s">
        <v>50</v>
      </c>
      <c r="D41" s="30" t="s">
        <v>61</v>
      </c>
      <c r="E41" s="29">
        <v>28</v>
      </c>
      <c r="F41" s="29">
        <v>5</v>
      </c>
      <c r="G41" s="29" t="s">
        <v>115</v>
      </c>
      <c r="H41" s="41">
        <v>140</v>
      </c>
      <c r="I41" s="38"/>
    </row>
    <row r="42" spans="1:9" x14ac:dyDescent="0.3">
      <c r="A42" s="29">
        <v>1038</v>
      </c>
      <c r="B42" s="30" t="s">
        <v>116</v>
      </c>
      <c r="C42" s="30" t="s">
        <v>53</v>
      </c>
      <c r="D42" s="30" t="s">
        <v>64</v>
      </c>
      <c r="E42" s="29">
        <v>24</v>
      </c>
      <c r="F42" s="29">
        <v>8</v>
      </c>
      <c r="G42" s="29" t="s">
        <v>117</v>
      </c>
      <c r="H42" s="41">
        <v>192</v>
      </c>
      <c r="I42" s="38"/>
    </row>
    <row r="43" spans="1:9" x14ac:dyDescent="0.3">
      <c r="A43" s="29">
        <v>1039</v>
      </c>
      <c r="B43" s="30" t="s">
        <v>118</v>
      </c>
      <c r="C43" s="30" t="s">
        <v>56</v>
      </c>
      <c r="D43" s="30" t="s">
        <v>51</v>
      </c>
      <c r="E43" s="29">
        <v>16</v>
      </c>
      <c r="F43" s="29">
        <v>50</v>
      </c>
      <c r="G43" s="29" t="s">
        <v>119</v>
      </c>
      <c r="H43" s="41">
        <v>800</v>
      </c>
      <c r="I43" s="38"/>
    </row>
    <row r="44" spans="1:9" x14ac:dyDescent="0.3">
      <c r="A44" s="29">
        <v>1040</v>
      </c>
      <c r="B44" s="30" t="s">
        <v>120</v>
      </c>
      <c r="C44" s="30" t="s">
        <v>59</v>
      </c>
      <c r="D44" s="30" t="s">
        <v>54</v>
      </c>
      <c r="E44" s="29">
        <v>27</v>
      </c>
      <c r="F44" s="29">
        <v>10</v>
      </c>
      <c r="G44" s="29" t="s">
        <v>121</v>
      </c>
      <c r="H44" s="41">
        <v>270</v>
      </c>
      <c r="I44" s="38"/>
    </row>
    <row r="45" spans="1:9" x14ac:dyDescent="0.3">
      <c r="A45" s="29">
        <v>1041</v>
      </c>
      <c r="B45" s="30" t="s">
        <v>122</v>
      </c>
      <c r="C45" s="30" t="s">
        <v>50</v>
      </c>
      <c r="D45" s="30" t="s">
        <v>57</v>
      </c>
      <c r="E45" s="29">
        <v>21</v>
      </c>
      <c r="F45" s="29">
        <v>25</v>
      </c>
      <c r="G45" s="29" t="s">
        <v>123</v>
      </c>
      <c r="H45" s="41">
        <v>525</v>
      </c>
      <c r="I45" s="38"/>
    </row>
    <row r="46" spans="1:9" x14ac:dyDescent="0.3">
      <c r="A46" s="29">
        <v>1042</v>
      </c>
      <c r="B46" s="30" t="s">
        <v>124</v>
      </c>
      <c r="C46" s="30" t="s">
        <v>53</v>
      </c>
      <c r="D46" s="30" t="s">
        <v>61</v>
      </c>
      <c r="E46" s="29">
        <v>30</v>
      </c>
      <c r="F46" s="29">
        <v>5</v>
      </c>
      <c r="G46" s="29" t="s">
        <v>125</v>
      </c>
      <c r="H46" s="41">
        <v>150</v>
      </c>
      <c r="I46" s="38"/>
    </row>
    <row r="47" spans="1:9" x14ac:dyDescent="0.3">
      <c r="A47" s="29">
        <v>1043</v>
      </c>
      <c r="B47" s="30" t="s">
        <v>126</v>
      </c>
      <c r="C47" s="30" t="s">
        <v>56</v>
      </c>
      <c r="D47" s="30" t="s">
        <v>64</v>
      </c>
      <c r="E47" s="29">
        <v>26</v>
      </c>
      <c r="F47" s="29">
        <v>8</v>
      </c>
      <c r="G47" s="31">
        <v>45294</v>
      </c>
      <c r="H47" s="41">
        <v>208</v>
      </c>
      <c r="I47" s="38"/>
    </row>
    <row r="48" spans="1:9" x14ac:dyDescent="0.3">
      <c r="A48" s="29">
        <v>1044</v>
      </c>
      <c r="B48" s="30" t="s">
        <v>127</v>
      </c>
      <c r="C48" s="30" t="s">
        <v>59</v>
      </c>
      <c r="D48" s="30" t="s">
        <v>51</v>
      </c>
      <c r="E48" s="29">
        <v>14</v>
      </c>
      <c r="F48" s="29">
        <v>50</v>
      </c>
      <c r="G48" s="31">
        <v>45325</v>
      </c>
      <c r="H48" s="41">
        <v>700</v>
      </c>
      <c r="I48" s="38"/>
    </row>
    <row r="49" spans="1:9" x14ac:dyDescent="0.3">
      <c r="A49" s="29">
        <v>1045</v>
      </c>
      <c r="B49" s="30" t="s">
        <v>128</v>
      </c>
      <c r="C49" s="30" t="s">
        <v>50</v>
      </c>
      <c r="D49" s="30" t="s">
        <v>54</v>
      </c>
      <c r="E49" s="29">
        <v>20</v>
      </c>
      <c r="F49" s="29">
        <v>10</v>
      </c>
      <c r="G49" s="31">
        <v>45354</v>
      </c>
      <c r="H49" s="41">
        <v>200</v>
      </c>
      <c r="I49" s="38"/>
    </row>
    <row r="50" spans="1:9" x14ac:dyDescent="0.3">
      <c r="A50" s="29">
        <v>1046</v>
      </c>
      <c r="B50" s="30" t="s">
        <v>129</v>
      </c>
      <c r="C50" s="30" t="s">
        <v>53</v>
      </c>
      <c r="D50" s="30" t="s">
        <v>57</v>
      </c>
      <c r="E50" s="29">
        <v>17</v>
      </c>
      <c r="F50" s="29">
        <v>25</v>
      </c>
      <c r="G50" s="31">
        <v>45385</v>
      </c>
      <c r="H50" s="41">
        <v>425</v>
      </c>
      <c r="I50" s="38"/>
    </row>
    <row r="51" spans="1:9" x14ac:dyDescent="0.3">
      <c r="A51" s="29">
        <v>1047</v>
      </c>
      <c r="B51" s="30" t="s">
        <v>130</v>
      </c>
      <c r="C51" s="30" t="s">
        <v>56</v>
      </c>
      <c r="D51" s="30" t="s">
        <v>61</v>
      </c>
      <c r="E51" s="29">
        <v>19</v>
      </c>
      <c r="F51" s="29">
        <v>5</v>
      </c>
      <c r="G51" s="31">
        <v>45415</v>
      </c>
      <c r="H51" s="41">
        <v>95</v>
      </c>
      <c r="I51" s="38"/>
    </row>
    <row r="52" spans="1:9" x14ac:dyDescent="0.3">
      <c r="A52" s="29">
        <v>1048</v>
      </c>
      <c r="B52" s="30" t="s">
        <v>131</v>
      </c>
      <c r="C52" s="30" t="s">
        <v>59</v>
      </c>
      <c r="D52" s="30" t="s">
        <v>64</v>
      </c>
      <c r="E52" s="29">
        <v>32</v>
      </c>
      <c r="F52" s="29">
        <v>8</v>
      </c>
      <c r="G52" s="31">
        <v>45446</v>
      </c>
      <c r="H52" s="41">
        <v>256</v>
      </c>
      <c r="I52" s="38"/>
    </row>
    <row r="53" spans="1:9" x14ac:dyDescent="0.3">
      <c r="A53" s="29">
        <v>1049</v>
      </c>
      <c r="B53" s="30" t="s">
        <v>132</v>
      </c>
      <c r="C53" s="30" t="s">
        <v>50</v>
      </c>
      <c r="D53" s="30" t="s">
        <v>51</v>
      </c>
      <c r="E53" s="29">
        <v>12</v>
      </c>
      <c r="F53" s="29">
        <v>50</v>
      </c>
      <c r="G53" s="31">
        <v>45476</v>
      </c>
      <c r="H53" s="41">
        <v>600</v>
      </c>
      <c r="I53" s="38"/>
    </row>
    <row r="54" spans="1:9" x14ac:dyDescent="0.3">
      <c r="A54" s="29">
        <v>1050</v>
      </c>
      <c r="B54" s="30" t="s">
        <v>133</v>
      </c>
      <c r="C54" s="30" t="s">
        <v>53</v>
      </c>
      <c r="D54" s="30" t="s">
        <v>54</v>
      </c>
      <c r="E54" s="29">
        <v>25</v>
      </c>
      <c r="F54" s="29">
        <v>10</v>
      </c>
      <c r="G54" s="31">
        <v>45507</v>
      </c>
      <c r="H54" s="41">
        <v>250</v>
      </c>
      <c r="I54" s="38"/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workbookViewId="0">
      <selection sqref="A1:H1"/>
    </sheetView>
  </sheetViews>
  <sheetFormatPr defaultRowHeight="14.4" x14ac:dyDescent="0.3"/>
  <cols>
    <col min="1" max="1" width="8.88671875" style="38"/>
    <col min="2" max="2" width="12.5546875" style="38" customWidth="1"/>
    <col min="3" max="6" width="8.88671875" style="38"/>
    <col min="7" max="7" width="15.5546875" style="38" customWidth="1"/>
    <col min="8" max="16384" width="8.88671875" style="38"/>
  </cols>
  <sheetData>
    <row r="1" spans="1:8" s="49" customFormat="1" ht="28.2" customHeight="1" x14ac:dyDescent="0.3">
      <c r="A1" s="54" t="s">
        <v>144</v>
      </c>
      <c r="B1" s="54"/>
      <c r="C1" s="54"/>
      <c r="D1" s="54"/>
      <c r="E1" s="54"/>
      <c r="F1" s="54"/>
      <c r="G1" s="54"/>
      <c r="H1" s="54"/>
    </row>
    <row r="2" spans="1:8" x14ac:dyDescent="0.3">
      <c r="A2" s="28" t="s">
        <v>42</v>
      </c>
      <c r="B2" s="28" t="s">
        <v>43</v>
      </c>
      <c r="C2" s="28" t="s">
        <v>44</v>
      </c>
      <c r="D2" s="28" t="s">
        <v>45</v>
      </c>
      <c r="E2" s="28" t="s">
        <v>46</v>
      </c>
      <c r="F2" s="28" t="s">
        <v>47</v>
      </c>
      <c r="G2" s="28" t="s">
        <v>48</v>
      </c>
      <c r="H2" s="40" t="s">
        <v>140</v>
      </c>
    </row>
    <row r="3" spans="1:8" x14ac:dyDescent="0.3">
      <c r="A3" s="29">
        <v>1001</v>
      </c>
      <c r="B3" s="30" t="s">
        <v>49</v>
      </c>
      <c r="C3" s="30" t="s">
        <v>50</v>
      </c>
      <c r="D3" s="30" t="s">
        <v>51</v>
      </c>
      <c r="E3" s="29">
        <v>10</v>
      </c>
      <c r="F3" s="29">
        <v>50</v>
      </c>
      <c r="G3" s="31">
        <v>45413</v>
      </c>
      <c r="H3" s="41">
        <v>500</v>
      </c>
    </row>
    <row r="4" spans="1:8" x14ac:dyDescent="0.3">
      <c r="A4" s="29">
        <v>1002</v>
      </c>
      <c r="B4" s="30" t="s">
        <v>52</v>
      </c>
      <c r="C4" s="30" t="s">
        <v>53</v>
      </c>
      <c r="D4" s="30" t="s">
        <v>54</v>
      </c>
      <c r="E4" s="29">
        <v>20</v>
      </c>
      <c r="F4" s="29">
        <v>10</v>
      </c>
      <c r="G4" s="31">
        <v>45444</v>
      </c>
      <c r="H4" s="41">
        <v>200</v>
      </c>
    </row>
    <row r="5" spans="1:8" x14ac:dyDescent="0.3">
      <c r="A5" s="29">
        <v>1003</v>
      </c>
      <c r="B5" s="30" t="s">
        <v>55</v>
      </c>
      <c r="C5" s="30" t="s">
        <v>56</v>
      </c>
      <c r="D5" s="30" t="s">
        <v>57</v>
      </c>
      <c r="E5" s="29">
        <v>15</v>
      </c>
      <c r="F5" s="29">
        <v>25</v>
      </c>
      <c r="G5" s="31">
        <v>45474</v>
      </c>
      <c r="H5" s="41">
        <v>375</v>
      </c>
    </row>
    <row r="6" spans="1:8" x14ac:dyDescent="0.3">
      <c r="A6" s="29">
        <v>1004</v>
      </c>
      <c r="B6" s="30" t="s">
        <v>58</v>
      </c>
      <c r="C6" s="30" t="s">
        <v>59</v>
      </c>
      <c r="D6" s="30" t="s">
        <v>51</v>
      </c>
      <c r="E6" s="29">
        <v>5</v>
      </c>
      <c r="F6" s="29">
        <v>50</v>
      </c>
      <c r="G6" s="31">
        <v>45505</v>
      </c>
      <c r="H6" s="41">
        <v>250</v>
      </c>
    </row>
    <row r="7" spans="1:8" x14ac:dyDescent="0.3">
      <c r="A7" s="29">
        <v>1005</v>
      </c>
      <c r="B7" s="30" t="s">
        <v>60</v>
      </c>
      <c r="C7" s="30" t="s">
        <v>50</v>
      </c>
      <c r="D7" s="30" t="s">
        <v>61</v>
      </c>
      <c r="E7" s="29">
        <v>30</v>
      </c>
      <c r="F7" s="29">
        <v>5</v>
      </c>
      <c r="G7" s="31">
        <v>45566</v>
      </c>
      <c r="H7" s="41">
        <v>150</v>
      </c>
    </row>
    <row r="8" spans="1:8" x14ac:dyDescent="0.3">
      <c r="A8" s="29">
        <v>1006</v>
      </c>
      <c r="B8" s="30" t="s">
        <v>62</v>
      </c>
      <c r="C8" s="30" t="s">
        <v>53</v>
      </c>
      <c r="D8" s="30" t="s">
        <v>51</v>
      </c>
      <c r="E8" s="29">
        <v>12</v>
      </c>
      <c r="F8" s="29">
        <v>50</v>
      </c>
      <c r="G8" s="31">
        <v>45597</v>
      </c>
      <c r="H8" s="41">
        <v>600</v>
      </c>
    </row>
    <row r="9" spans="1:8" x14ac:dyDescent="0.3">
      <c r="A9" s="29">
        <v>1007</v>
      </c>
      <c r="B9" s="30" t="s">
        <v>63</v>
      </c>
      <c r="C9" s="30" t="s">
        <v>56</v>
      </c>
      <c r="D9" s="30" t="s">
        <v>64</v>
      </c>
      <c r="E9" s="29">
        <v>25</v>
      </c>
      <c r="F9" s="29">
        <v>8</v>
      </c>
      <c r="G9" s="29" t="s">
        <v>65</v>
      </c>
      <c r="H9" s="41">
        <v>200</v>
      </c>
    </row>
    <row r="10" spans="1:8" x14ac:dyDescent="0.3">
      <c r="A10" s="29">
        <v>1008</v>
      </c>
      <c r="B10" s="30" t="s">
        <v>66</v>
      </c>
      <c r="C10" s="30" t="s">
        <v>59</v>
      </c>
      <c r="D10" s="30" t="s">
        <v>54</v>
      </c>
      <c r="E10" s="29">
        <v>18</v>
      </c>
      <c r="F10" s="29">
        <v>10</v>
      </c>
      <c r="G10" s="29" t="s">
        <v>67</v>
      </c>
      <c r="H10" s="41">
        <v>180</v>
      </c>
    </row>
    <row r="11" spans="1:8" x14ac:dyDescent="0.3">
      <c r="A11" s="29">
        <v>1009</v>
      </c>
      <c r="B11" s="30" t="s">
        <v>68</v>
      </c>
      <c r="C11" s="30" t="s">
        <v>50</v>
      </c>
      <c r="D11" s="30" t="s">
        <v>57</v>
      </c>
      <c r="E11" s="29">
        <v>22</v>
      </c>
      <c r="F11" s="29">
        <v>25</v>
      </c>
      <c r="G11" s="29" t="s">
        <v>69</v>
      </c>
      <c r="H11" s="41">
        <v>550</v>
      </c>
    </row>
    <row r="12" spans="1:8" x14ac:dyDescent="0.3">
      <c r="A12" s="29">
        <v>1010</v>
      </c>
      <c r="B12" s="30" t="s">
        <v>70</v>
      </c>
      <c r="C12" s="30" t="s">
        <v>53</v>
      </c>
      <c r="D12" s="30" t="s">
        <v>51</v>
      </c>
      <c r="E12" s="29">
        <v>8</v>
      </c>
      <c r="F12" s="29">
        <v>50</v>
      </c>
      <c r="G12" s="29" t="s">
        <v>71</v>
      </c>
      <c r="H12" s="41">
        <v>400</v>
      </c>
    </row>
    <row r="13" spans="1:8" x14ac:dyDescent="0.3">
      <c r="A13" s="29">
        <v>1011</v>
      </c>
      <c r="B13" s="30" t="s">
        <v>72</v>
      </c>
      <c r="C13" s="30" t="s">
        <v>56</v>
      </c>
      <c r="D13" s="30" t="s">
        <v>61</v>
      </c>
      <c r="E13" s="29">
        <v>40</v>
      </c>
      <c r="F13" s="29">
        <v>5</v>
      </c>
      <c r="G13" s="29" t="s">
        <v>73</v>
      </c>
      <c r="H13" s="41">
        <v>200</v>
      </c>
    </row>
    <row r="14" spans="1:8" x14ac:dyDescent="0.3">
      <c r="A14" s="29">
        <v>1012</v>
      </c>
      <c r="B14" s="30" t="s">
        <v>74</v>
      </c>
      <c r="C14" s="30" t="s">
        <v>59</v>
      </c>
      <c r="D14" s="30" t="s">
        <v>64</v>
      </c>
      <c r="E14" s="29">
        <v>35</v>
      </c>
      <c r="F14" s="29">
        <v>8</v>
      </c>
      <c r="G14" s="29" t="s">
        <v>75</v>
      </c>
      <c r="H14" s="41">
        <v>280</v>
      </c>
    </row>
    <row r="15" spans="1:8" x14ac:dyDescent="0.3">
      <c r="A15" s="29">
        <v>1013</v>
      </c>
      <c r="B15" s="30" t="s">
        <v>76</v>
      </c>
      <c r="C15" s="30" t="s">
        <v>50</v>
      </c>
      <c r="D15" s="30" t="s">
        <v>51</v>
      </c>
      <c r="E15" s="29">
        <v>14</v>
      </c>
      <c r="F15" s="29">
        <v>50</v>
      </c>
      <c r="G15" s="29" t="s">
        <v>77</v>
      </c>
      <c r="H15" s="41">
        <v>700</v>
      </c>
    </row>
    <row r="16" spans="1:8" x14ac:dyDescent="0.3">
      <c r="A16" s="29">
        <v>1014</v>
      </c>
      <c r="B16" s="30" t="s">
        <v>78</v>
      </c>
      <c r="C16" s="30" t="s">
        <v>53</v>
      </c>
      <c r="D16" s="30" t="s">
        <v>54</v>
      </c>
      <c r="E16" s="29">
        <v>28</v>
      </c>
      <c r="F16" s="29">
        <v>10</v>
      </c>
      <c r="G16" s="29" t="s">
        <v>79</v>
      </c>
      <c r="H16" s="41">
        <v>280</v>
      </c>
    </row>
    <row r="17" spans="1:8" x14ac:dyDescent="0.3">
      <c r="A17" s="29">
        <v>1015</v>
      </c>
      <c r="B17" s="30" t="s">
        <v>80</v>
      </c>
      <c r="C17" s="30" t="s">
        <v>56</v>
      </c>
      <c r="D17" s="30" t="s">
        <v>57</v>
      </c>
      <c r="E17" s="29">
        <v>12</v>
      </c>
      <c r="F17" s="29">
        <v>25</v>
      </c>
      <c r="G17" s="29" t="s">
        <v>81</v>
      </c>
      <c r="H17" s="41">
        <v>300</v>
      </c>
    </row>
    <row r="18" spans="1:8" x14ac:dyDescent="0.3">
      <c r="A18" s="29">
        <v>1016</v>
      </c>
      <c r="B18" s="30" t="s">
        <v>82</v>
      </c>
      <c r="C18" s="30" t="s">
        <v>59</v>
      </c>
      <c r="D18" s="30" t="s">
        <v>61</v>
      </c>
      <c r="E18" s="29">
        <v>25</v>
      </c>
      <c r="F18" s="29">
        <v>5</v>
      </c>
      <c r="G18" s="29" t="s">
        <v>83</v>
      </c>
      <c r="H18" s="41">
        <v>125</v>
      </c>
    </row>
    <row r="19" spans="1:8" x14ac:dyDescent="0.3">
      <c r="A19" s="29">
        <v>1017</v>
      </c>
      <c r="B19" s="30" t="s">
        <v>84</v>
      </c>
      <c r="C19" s="30" t="s">
        <v>50</v>
      </c>
      <c r="D19" s="30" t="s">
        <v>64</v>
      </c>
      <c r="E19" s="29">
        <v>20</v>
      </c>
      <c r="F19" s="29">
        <v>8</v>
      </c>
      <c r="G19" s="29" t="s">
        <v>85</v>
      </c>
      <c r="H19" s="41">
        <v>160</v>
      </c>
    </row>
    <row r="20" spans="1:8" x14ac:dyDescent="0.3">
      <c r="A20" s="29">
        <v>1018</v>
      </c>
      <c r="B20" s="30" t="s">
        <v>86</v>
      </c>
      <c r="C20" s="30" t="s">
        <v>53</v>
      </c>
      <c r="D20" s="30" t="s">
        <v>51</v>
      </c>
      <c r="E20" s="29">
        <v>10</v>
      </c>
      <c r="F20" s="29">
        <v>50</v>
      </c>
      <c r="G20" s="29" t="s">
        <v>87</v>
      </c>
      <c r="H20" s="41">
        <v>500</v>
      </c>
    </row>
    <row r="21" spans="1:8" x14ac:dyDescent="0.3">
      <c r="A21" s="29">
        <v>1019</v>
      </c>
      <c r="B21" s="30" t="s">
        <v>88</v>
      </c>
      <c r="C21" s="30" t="s">
        <v>56</v>
      </c>
      <c r="D21" s="30" t="s">
        <v>54</v>
      </c>
      <c r="E21" s="29">
        <v>15</v>
      </c>
      <c r="F21" s="29">
        <v>10</v>
      </c>
      <c r="G21" s="29" t="s">
        <v>89</v>
      </c>
      <c r="H21" s="41">
        <v>150</v>
      </c>
    </row>
    <row r="22" spans="1:8" x14ac:dyDescent="0.3">
      <c r="A22" s="29">
        <v>1020</v>
      </c>
      <c r="B22" s="30" t="s">
        <v>90</v>
      </c>
      <c r="C22" s="30" t="s">
        <v>59</v>
      </c>
      <c r="D22" s="30" t="s">
        <v>57</v>
      </c>
      <c r="E22" s="29">
        <v>18</v>
      </c>
      <c r="F22" s="29">
        <v>25</v>
      </c>
      <c r="G22" s="31">
        <v>45293</v>
      </c>
      <c r="H22" s="41">
        <v>450</v>
      </c>
    </row>
    <row r="23" spans="1:8" x14ac:dyDescent="0.3">
      <c r="A23" s="29">
        <v>1021</v>
      </c>
      <c r="B23" s="30" t="s">
        <v>91</v>
      </c>
      <c r="C23" s="30" t="s">
        <v>50</v>
      </c>
      <c r="D23" s="30" t="s">
        <v>51</v>
      </c>
      <c r="E23" s="29">
        <v>9</v>
      </c>
      <c r="F23" s="29">
        <v>50</v>
      </c>
      <c r="G23" s="31">
        <v>45324</v>
      </c>
      <c r="H23" s="41">
        <v>450</v>
      </c>
    </row>
    <row r="24" spans="1:8" x14ac:dyDescent="0.3">
      <c r="A24" s="29">
        <v>1022</v>
      </c>
      <c r="B24" s="30" t="s">
        <v>92</v>
      </c>
      <c r="C24" s="30" t="s">
        <v>53</v>
      </c>
      <c r="D24" s="30" t="s">
        <v>61</v>
      </c>
      <c r="E24" s="29">
        <v>35</v>
      </c>
      <c r="F24" s="29">
        <v>5</v>
      </c>
      <c r="G24" s="31">
        <v>45353</v>
      </c>
      <c r="H24" s="41">
        <v>175</v>
      </c>
    </row>
    <row r="25" spans="1:8" x14ac:dyDescent="0.3">
      <c r="A25" s="29">
        <v>1023</v>
      </c>
      <c r="B25" s="30" t="s">
        <v>93</v>
      </c>
      <c r="C25" s="30" t="s">
        <v>56</v>
      </c>
      <c r="D25" s="30" t="s">
        <v>64</v>
      </c>
      <c r="E25" s="29">
        <v>30</v>
      </c>
      <c r="F25" s="29">
        <v>8</v>
      </c>
      <c r="G25" s="31">
        <v>45384</v>
      </c>
      <c r="H25" s="41">
        <v>240</v>
      </c>
    </row>
    <row r="26" spans="1:8" x14ac:dyDescent="0.3">
      <c r="A26" s="29">
        <v>1024</v>
      </c>
      <c r="B26" s="30" t="s">
        <v>94</v>
      </c>
      <c r="C26" s="30" t="s">
        <v>59</v>
      </c>
      <c r="D26" s="30" t="s">
        <v>51</v>
      </c>
      <c r="E26" s="29">
        <v>11</v>
      </c>
      <c r="F26" s="29">
        <v>50</v>
      </c>
      <c r="G26" s="31">
        <v>45445</v>
      </c>
      <c r="H26" s="41">
        <v>550</v>
      </c>
    </row>
    <row r="27" spans="1:8" x14ac:dyDescent="0.3">
      <c r="A27" s="29">
        <v>1025</v>
      </c>
      <c r="B27" s="30" t="s">
        <v>95</v>
      </c>
      <c r="C27" s="30" t="s">
        <v>50</v>
      </c>
      <c r="D27" s="30" t="s">
        <v>54</v>
      </c>
      <c r="E27" s="29">
        <v>14</v>
      </c>
      <c r="F27" s="29">
        <v>10</v>
      </c>
      <c r="G27" s="31">
        <v>45475</v>
      </c>
      <c r="H27" s="41">
        <v>140</v>
      </c>
    </row>
    <row r="28" spans="1:8" x14ac:dyDescent="0.3">
      <c r="A28" s="29">
        <v>1026</v>
      </c>
      <c r="B28" s="30" t="s">
        <v>96</v>
      </c>
      <c r="C28" s="30" t="s">
        <v>53</v>
      </c>
      <c r="D28" s="30" t="s">
        <v>57</v>
      </c>
      <c r="E28" s="29">
        <v>16</v>
      </c>
      <c r="F28" s="29">
        <v>25</v>
      </c>
      <c r="G28" s="31">
        <v>45506</v>
      </c>
      <c r="H28" s="41">
        <v>400</v>
      </c>
    </row>
    <row r="29" spans="1:8" x14ac:dyDescent="0.3">
      <c r="A29" s="29">
        <v>1027</v>
      </c>
      <c r="B29" s="30" t="s">
        <v>97</v>
      </c>
      <c r="C29" s="30" t="s">
        <v>56</v>
      </c>
      <c r="D29" s="30" t="s">
        <v>61</v>
      </c>
      <c r="E29" s="29">
        <v>22</v>
      </c>
      <c r="F29" s="29">
        <v>5</v>
      </c>
      <c r="G29" s="31">
        <v>45537</v>
      </c>
      <c r="H29" s="41">
        <v>110</v>
      </c>
    </row>
    <row r="30" spans="1:8" x14ac:dyDescent="0.3">
      <c r="A30" s="29">
        <v>1028</v>
      </c>
      <c r="B30" s="30" t="s">
        <v>98</v>
      </c>
      <c r="C30" s="30" t="s">
        <v>59</v>
      </c>
      <c r="D30" s="30" t="s">
        <v>64</v>
      </c>
      <c r="E30" s="29">
        <v>27</v>
      </c>
      <c r="F30" s="29">
        <v>8</v>
      </c>
      <c r="G30" s="31">
        <v>45567</v>
      </c>
      <c r="H30" s="41">
        <v>216</v>
      </c>
    </row>
    <row r="31" spans="1:8" x14ac:dyDescent="0.3">
      <c r="A31" s="29">
        <v>1029</v>
      </c>
      <c r="B31" s="30" t="s">
        <v>99</v>
      </c>
      <c r="C31" s="30" t="s">
        <v>50</v>
      </c>
      <c r="D31" s="30" t="s">
        <v>51</v>
      </c>
      <c r="E31" s="29">
        <v>13</v>
      </c>
      <c r="F31" s="29">
        <v>50</v>
      </c>
      <c r="G31" s="31">
        <v>45628</v>
      </c>
      <c r="H31" s="41">
        <v>650</v>
      </c>
    </row>
    <row r="32" spans="1:8" x14ac:dyDescent="0.3">
      <c r="A32" s="29">
        <v>1030</v>
      </c>
      <c r="B32" s="30" t="s">
        <v>100</v>
      </c>
      <c r="C32" s="30" t="s">
        <v>53</v>
      </c>
      <c r="D32" s="30" t="s">
        <v>54</v>
      </c>
      <c r="E32" s="29">
        <v>32</v>
      </c>
      <c r="F32" s="29">
        <v>10</v>
      </c>
      <c r="G32" s="29" t="s">
        <v>101</v>
      </c>
      <c r="H32" s="41">
        <v>320</v>
      </c>
    </row>
    <row r="33" spans="1:12" x14ac:dyDescent="0.3">
      <c r="A33" s="29">
        <v>1031</v>
      </c>
      <c r="B33" s="30" t="s">
        <v>102</v>
      </c>
      <c r="C33" s="30" t="s">
        <v>56</v>
      </c>
      <c r="D33" s="30" t="s">
        <v>57</v>
      </c>
      <c r="E33" s="29">
        <v>10</v>
      </c>
      <c r="F33" s="29">
        <v>25</v>
      </c>
      <c r="G33" s="29" t="s">
        <v>103</v>
      </c>
      <c r="H33" s="41">
        <v>250</v>
      </c>
    </row>
    <row r="34" spans="1:12" x14ac:dyDescent="0.3">
      <c r="A34" s="29">
        <v>1032</v>
      </c>
      <c r="B34" s="30" t="s">
        <v>104</v>
      </c>
      <c r="C34" s="30" t="s">
        <v>59</v>
      </c>
      <c r="D34" s="30" t="s">
        <v>61</v>
      </c>
      <c r="E34" s="29">
        <v>18</v>
      </c>
      <c r="F34" s="29">
        <v>5</v>
      </c>
      <c r="G34" s="29" t="s">
        <v>105</v>
      </c>
      <c r="H34" s="41">
        <v>90</v>
      </c>
      <c r="L34" s="48"/>
    </row>
    <row r="35" spans="1:12" x14ac:dyDescent="0.3">
      <c r="A35" s="29">
        <v>1033</v>
      </c>
      <c r="B35" s="30" t="s">
        <v>106</v>
      </c>
      <c r="C35" s="30" t="s">
        <v>50</v>
      </c>
      <c r="D35" s="30" t="s">
        <v>64</v>
      </c>
      <c r="E35" s="29">
        <v>22</v>
      </c>
      <c r="F35" s="29">
        <v>8</v>
      </c>
      <c r="G35" s="29" t="s">
        <v>107</v>
      </c>
      <c r="H35" s="41">
        <v>176</v>
      </c>
    </row>
    <row r="36" spans="1:12" x14ac:dyDescent="0.3">
      <c r="A36" s="29">
        <v>1034</v>
      </c>
      <c r="B36" s="30" t="s">
        <v>108</v>
      </c>
      <c r="C36" s="30" t="s">
        <v>53</v>
      </c>
      <c r="D36" s="30" t="s">
        <v>51</v>
      </c>
      <c r="E36" s="29">
        <v>17</v>
      </c>
      <c r="F36" s="29">
        <v>50</v>
      </c>
      <c r="G36" s="29" t="s">
        <v>109</v>
      </c>
      <c r="H36" s="41">
        <v>850</v>
      </c>
    </row>
    <row r="37" spans="1:12" x14ac:dyDescent="0.3">
      <c r="A37" s="29">
        <v>1035</v>
      </c>
      <c r="B37" s="30" t="s">
        <v>110</v>
      </c>
      <c r="C37" s="30" t="s">
        <v>56</v>
      </c>
      <c r="D37" s="30" t="s">
        <v>54</v>
      </c>
      <c r="E37" s="29">
        <v>19</v>
      </c>
      <c r="F37" s="29">
        <v>10</v>
      </c>
      <c r="G37" s="29" t="s">
        <v>111</v>
      </c>
      <c r="H37" s="41">
        <v>190</v>
      </c>
    </row>
    <row r="38" spans="1:12" x14ac:dyDescent="0.3">
      <c r="A38" s="29">
        <v>1036</v>
      </c>
      <c r="B38" s="30" t="s">
        <v>112</v>
      </c>
      <c r="C38" s="30" t="s">
        <v>59</v>
      </c>
      <c r="D38" s="30" t="s">
        <v>57</v>
      </c>
      <c r="E38" s="29">
        <v>15</v>
      </c>
      <c r="F38" s="29">
        <v>25</v>
      </c>
      <c r="G38" s="29" t="s">
        <v>113</v>
      </c>
      <c r="H38" s="41">
        <v>375</v>
      </c>
    </row>
    <row r="39" spans="1:12" x14ac:dyDescent="0.3">
      <c r="A39" s="29">
        <v>1037</v>
      </c>
      <c r="B39" s="30" t="s">
        <v>114</v>
      </c>
      <c r="C39" s="30" t="s">
        <v>50</v>
      </c>
      <c r="D39" s="30" t="s">
        <v>61</v>
      </c>
      <c r="E39" s="29">
        <v>28</v>
      </c>
      <c r="F39" s="29">
        <v>5</v>
      </c>
      <c r="G39" s="29" t="s">
        <v>115</v>
      </c>
      <c r="H39" s="41">
        <v>140</v>
      </c>
    </row>
    <row r="40" spans="1:12" x14ac:dyDescent="0.3">
      <c r="A40" s="29">
        <v>1038</v>
      </c>
      <c r="B40" s="30" t="s">
        <v>116</v>
      </c>
      <c r="C40" s="30" t="s">
        <v>53</v>
      </c>
      <c r="D40" s="30" t="s">
        <v>64</v>
      </c>
      <c r="E40" s="29">
        <v>24</v>
      </c>
      <c r="F40" s="29">
        <v>8</v>
      </c>
      <c r="G40" s="29" t="s">
        <v>117</v>
      </c>
      <c r="H40" s="41">
        <v>192</v>
      </c>
    </row>
    <row r="41" spans="1:12" x14ac:dyDescent="0.3">
      <c r="A41" s="29">
        <v>1039</v>
      </c>
      <c r="B41" s="30" t="s">
        <v>118</v>
      </c>
      <c r="C41" s="30" t="s">
        <v>56</v>
      </c>
      <c r="D41" s="30" t="s">
        <v>51</v>
      </c>
      <c r="E41" s="29">
        <v>16</v>
      </c>
      <c r="F41" s="29">
        <v>50</v>
      </c>
      <c r="G41" s="29" t="s">
        <v>119</v>
      </c>
      <c r="H41" s="41">
        <v>800</v>
      </c>
    </row>
    <row r="42" spans="1:12" x14ac:dyDescent="0.3">
      <c r="A42" s="29">
        <v>1040</v>
      </c>
      <c r="B42" s="30" t="s">
        <v>120</v>
      </c>
      <c r="C42" s="30" t="s">
        <v>59</v>
      </c>
      <c r="D42" s="30" t="s">
        <v>54</v>
      </c>
      <c r="E42" s="29">
        <v>27</v>
      </c>
      <c r="F42" s="29">
        <v>10</v>
      </c>
      <c r="G42" s="29" t="s">
        <v>121</v>
      </c>
      <c r="H42" s="41">
        <v>270</v>
      </c>
    </row>
    <row r="43" spans="1:12" x14ac:dyDescent="0.3">
      <c r="A43" s="29">
        <v>1041</v>
      </c>
      <c r="B43" s="30" t="s">
        <v>122</v>
      </c>
      <c r="C43" s="30" t="s">
        <v>50</v>
      </c>
      <c r="D43" s="30" t="s">
        <v>57</v>
      </c>
      <c r="E43" s="29">
        <v>21</v>
      </c>
      <c r="F43" s="29">
        <v>25</v>
      </c>
      <c r="G43" s="29" t="s">
        <v>123</v>
      </c>
      <c r="H43" s="41">
        <v>525</v>
      </c>
    </row>
    <row r="44" spans="1:12" x14ac:dyDescent="0.3">
      <c r="A44" s="29">
        <v>1042</v>
      </c>
      <c r="B44" s="30" t="s">
        <v>124</v>
      </c>
      <c r="C44" s="30" t="s">
        <v>53</v>
      </c>
      <c r="D44" s="30" t="s">
        <v>61</v>
      </c>
      <c r="E44" s="29">
        <v>30</v>
      </c>
      <c r="F44" s="29">
        <v>5</v>
      </c>
      <c r="G44" s="29" t="s">
        <v>125</v>
      </c>
      <c r="H44" s="41">
        <v>150</v>
      </c>
    </row>
    <row r="45" spans="1:12" x14ac:dyDescent="0.3">
      <c r="A45" s="29">
        <v>1043</v>
      </c>
      <c r="B45" s="30" t="s">
        <v>126</v>
      </c>
      <c r="C45" s="30" t="s">
        <v>56</v>
      </c>
      <c r="D45" s="30" t="s">
        <v>64</v>
      </c>
      <c r="E45" s="29">
        <v>26</v>
      </c>
      <c r="F45" s="29">
        <v>8</v>
      </c>
      <c r="G45" s="31">
        <v>45294</v>
      </c>
      <c r="H45" s="41">
        <v>208</v>
      </c>
    </row>
    <row r="46" spans="1:12" x14ac:dyDescent="0.3">
      <c r="A46" s="29">
        <v>1044</v>
      </c>
      <c r="B46" s="30" t="s">
        <v>127</v>
      </c>
      <c r="C46" s="30" t="s">
        <v>59</v>
      </c>
      <c r="D46" s="30" t="s">
        <v>51</v>
      </c>
      <c r="E46" s="29">
        <v>14</v>
      </c>
      <c r="F46" s="29">
        <v>50</v>
      </c>
      <c r="G46" s="31">
        <v>45325</v>
      </c>
      <c r="H46" s="41">
        <v>700</v>
      </c>
    </row>
    <row r="47" spans="1:12" x14ac:dyDescent="0.3">
      <c r="A47" s="29">
        <v>1045</v>
      </c>
      <c r="B47" s="30" t="s">
        <v>128</v>
      </c>
      <c r="C47" s="30" t="s">
        <v>50</v>
      </c>
      <c r="D47" s="30" t="s">
        <v>54</v>
      </c>
      <c r="E47" s="29">
        <v>20</v>
      </c>
      <c r="F47" s="29">
        <v>10</v>
      </c>
      <c r="G47" s="31">
        <v>45354</v>
      </c>
      <c r="H47" s="41">
        <v>200</v>
      </c>
    </row>
    <row r="48" spans="1:12" x14ac:dyDescent="0.3">
      <c r="A48" s="29">
        <v>1046</v>
      </c>
      <c r="B48" s="30" t="s">
        <v>129</v>
      </c>
      <c r="C48" s="30" t="s">
        <v>53</v>
      </c>
      <c r="D48" s="30" t="s">
        <v>57</v>
      </c>
      <c r="E48" s="29">
        <v>17</v>
      </c>
      <c r="F48" s="29">
        <v>25</v>
      </c>
      <c r="G48" s="31">
        <v>45385</v>
      </c>
      <c r="H48" s="41">
        <v>425</v>
      </c>
    </row>
    <row r="49" spans="1:8" x14ac:dyDescent="0.3">
      <c r="A49" s="29">
        <v>1047</v>
      </c>
      <c r="B49" s="30" t="s">
        <v>130</v>
      </c>
      <c r="C49" s="30" t="s">
        <v>56</v>
      </c>
      <c r="D49" s="30" t="s">
        <v>61</v>
      </c>
      <c r="E49" s="29">
        <v>19</v>
      </c>
      <c r="F49" s="29">
        <v>5</v>
      </c>
      <c r="G49" s="31">
        <v>45415</v>
      </c>
      <c r="H49" s="41">
        <v>95</v>
      </c>
    </row>
    <row r="50" spans="1:8" x14ac:dyDescent="0.3">
      <c r="A50" s="29">
        <v>1048</v>
      </c>
      <c r="B50" s="30" t="s">
        <v>131</v>
      </c>
      <c r="C50" s="30" t="s">
        <v>59</v>
      </c>
      <c r="D50" s="30" t="s">
        <v>64</v>
      </c>
      <c r="E50" s="29">
        <v>32</v>
      </c>
      <c r="F50" s="29">
        <v>8</v>
      </c>
      <c r="G50" s="31">
        <v>45446</v>
      </c>
      <c r="H50" s="41">
        <v>256</v>
      </c>
    </row>
    <row r="51" spans="1:8" x14ac:dyDescent="0.3">
      <c r="A51" s="29">
        <v>1049</v>
      </c>
      <c r="B51" s="30" t="s">
        <v>132</v>
      </c>
      <c r="C51" s="30" t="s">
        <v>50</v>
      </c>
      <c r="D51" s="30" t="s">
        <v>51</v>
      </c>
      <c r="E51" s="29">
        <v>12</v>
      </c>
      <c r="F51" s="29">
        <v>50</v>
      </c>
      <c r="G51" s="31">
        <v>45476</v>
      </c>
      <c r="H51" s="41">
        <v>600</v>
      </c>
    </row>
    <row r="52" spans="1:8" x14ac:dyDescent="0.3">
      <c r="A52" s="29">
        <v>1050</v>
      </c>
      <c r="B52" s="30" t="s">
        <v>133</v>
      </c>
      <c r="C52" s="30" t="s">
        <v>53</v>
      </c>
      <c r="D52" s="30" t="s">
        <v>54</v>
      </c>
      <c r="E52" s="29">
        <v>25</v>
      </c>
      <c r="F52" s="29">
        <v>10</v>
      </c>
      <c r="G52" s="31">
        <v>45507</v>
      </c>
      <c r="H52" s="41">
        <v>250</v>
      </c>
    </row>
  </sheetData>
  <mergeCells count="1">
    <mergeCell ref="A1:H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Q1</vt:lpstr>
      <vt:lpstr>Q2</vt:lpstr>
      <vt:lpstr>Q3</vt:lpstr>
      <vt:lpstr>Q4</vt:lpstr>
      <vt:lpstr>Q5</vt:lpstr>
      <vt:lpstr>Q6</vt:lpstr>
      <vt:lpstr>Q7</vt:lpstr>
      <vt:lpstr>Q8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2025-12-06T10:04:56Z</dcterms:created>
  <dcterms:modified xsi:type="dcterms:W3CDTF">2025-12-06T12:51:40Z</dcterms:modified>
</cp:coreProperties>
</file>